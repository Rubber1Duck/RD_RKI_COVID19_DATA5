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-15" yWindow="5880" windowWidth="28830" windowHeight="6945"/>
  </bookViews>
  <sheets>
    <sheet name="RKI_COVID19_Fallzahlen_20220416" sheetId="1" r:id="rId1"/>
    <sheet name="Tabelle2" sheetId="7" r:id="rId2"/>
    <sheet name="Tabelle3" sheetId="9" r:id="rId3"/>
  </sheets>
  <definedNames>
    <definedName name="_xlnm._FilterDatabase" localSheetId="2" hidden="1">Tabelle3!$A$1:$G$1716</definedName>
    <definedName name="Bevoelkerung" localSheetId="2">Tabelle3!$A$1:$G$1716</definedName>
    <definedName name="Bevoelkerung_1" localSheetId="1">Tabelle2!$A$1:$G$1716</definedName>
  </definedNames>
  <calcPr calcId="145621"/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2" i="1"/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2" i="1"/>
  <c r="I414" i="1" l="1"/>
  <c r="E414" i="1" l="1"/>
  <c r="F414" i="1"/>
  <c r="G414" i="1"/>
  <c r="D414" i="1"/>
  <c r="L414" i="1" s="1"/>
  <c r="A415" i="1" l="1"/>
  <c r="H414" i="1" l="1"/>
  <c r="Z414" i="1" l="1"/>
  <c r="N414" i="1"/>
  <c r="M414" i="1"/>
  <c r="X414" i="1"/>
  <c r="T414" i="1"/>
  <c r="P414" i="1"/>
  <c r="AA414" i="1"/>
  <c r="W414" i="1"/>
  <c r="S414" i="1"/>
  <c r="O414" i="1"/>
  <c r="V414" i="1"/>
  <c r="R414" i="1"/>
  <c r="Y414" i="1"/>
  <c r="U414" i="1"/>
  <c r="Q414" i="1"/>
</calcChain>
</file>

<file path=xl/connections.xml><?xml version="1.0" encoding="utf-8"?>
<connections xmlns="http://schemas.openxmlformats.org/spreadsheetml/2006/main">
  <connection id="1" name="Bevoelkerung" type="6" refreshedVersion="4" background="1" saveData="1">
    <textPr codePage="65001" sourceFile="F:\RD_RKI_COVID19_DATA\Bevoelkerung\Bevoelkerung.csv" decimal="," thousands="." tab="0" comma="1">
      <textFields count="8">
        <textField/>
        <textField/>
        <textField/>
        <textField type="YMD"/>
        <textField type="YMD"/>
        <textField/>
        <textField/>
        <textField/>
      </textFields>
    </textPr>
  </connection>
  <connection id="2" name="Bevoelkerung1" type="6" refreshedVersion="4" background="1" saveData="1">
    <textPr codePage="65001" sourceFile="F:\RD_RKI_COVID19_DATA\Bevoelkerung\Bevoelkerung.csv" decimal="," thousands="." tab="0" comma="1">
      <textFields count="8">
        <textField/>
        <textField/>
        <textField/>
        <textField type="YMD"/>
        <textField type="YMD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<sst xmlns="http://schemas.openxmlformats.org/spreadsheetml/2006/main" count="3862" uniqueCount="517">
  <si>
    <t>AGS</t>
  </si>
  <si>
    <t>Name</t>
  </si>
  <si>
    <t>GueltigAb</t>
  </si>
  <si>
    <t>GueltigBis</t>
  </si>
  <si>
    <t>Einwohner</t>
  </si>
  <si>
    <t>Bundesgebiet</t>
  </si>
  <si>
    <t>Schleswig-Holstein</t>
  </si>
  <si>
    <t>SK Flensburg</t>
  </si>
  <si>
    <t>SK Kiel</t>
  </si>
  <si>
    <t>SK Lübeck</t>
  </si>
  <si>
    <t>SK Neumünster</t>
  </si>
  <si>
    <t>LK Dithmarschen</t>
  </si>
  <si>
    <t>LK Herzogtum Lauenburg</t>
  </si>
  <si>
    <t>LK Nordfriesland</t>
  </si>
  <si>
    <t>LK Ostholstein</t>
  </si>
  <si>
    <t>LK Pinneberg</t>
  </si>
  <si>
    <t>LK Plön</t>
  </si>
  <si>
    <t>LK Rendsburg-Eckernförde</t>
  </si>
  <si>
    <t>LK Schleswig-Flensburg</t>
  </si>
  <si>
    <t>LK Segeberg</t>
  </si>
  <si>
    <t>LK Steinburg</t>
  </si>
  <si>
    <t>LK Stormarn</t>
  </si>
  <si>
    <t>Hamburg</t>
  </si>
  <si>
    <t>SK Hamburg</t>
  </si>
  <si>
    <t>Niedersachsen</t>
  </si>
  <si>
    <t>SK Braunschweig</t>
  </si>
  <si>
    <t>SK Salzgitter</t>
  </si>
  <si>
    <t>SK Wolfsburg</t>
  </si>
  <si>
    <t>LK Gifhorn</t>
  </si>
  <si>
    <t>LK Goslar</t>
  </si>
  <si>
    <t>LK Helmstedt</t>
  </si>
  <si>
    <t>LK Northeim</t>
  </si>
  <si>
    <t>LK Peine</t>
  </si>
  <si>
    <t>LK Wolfenbüttel</t>
  </si>
  <si>
    <t>LK Göttingen</t>
  </si>
  <si>
    <t>Region Hannover</t>
  </si>
  <si>
    <t>LK Diepholz</t>
  </si>
  <si>
    <t>LK Hameln-Pyrmont</t>
  </si>
  <si>
    <t>LK Hildesheim</t>
  </si>
  <si>
    <t>LK Holzminden</t>
  </si>
  <si>
    <t>LK Nienburg (Weser)</t>
  </si>
  <si>
    <t>LK Schaumburg</t>
  </si>
  <si>
    <t>LK Celle</t>
  </si>
  <si>
    <t>LK Cuxhaven</t>
  </si>
  <si>
    <t>LK Harburg</t>
  </si>
  <si>
    <t>LK Lüchow-Dannenberg</t>
  </si>
  <si>
    <t>LK Lüneburg</t>
  </si>
  <si>
    <t>LK Osterholz</t>
  </si>
  <si>
    <t>LK Rotenburg (Wümme)</t>
  </si>
  <si>
    <t>LK Heidekreis</t>
  </si>
  <si>
    <t>LK Stade</t>
  </si>
  <si>
    <t>LK Uelzen</t>
  </si>
  <si>
    <t>LK Verden</t>
  </si>
  <si>
    <t>SK Delmenhorst</t>
  </si>
  <si>
    <t>SK Emden</t>
  </si>
  <si>
    <t>SK Oldenburg</t>
  </si>
  <si>
    <t>SK Osnabrück</t>
  </si>
  <si>
    <t>SK Wilhelmshaven</t>
  </si>
  <si>
    <t>LK Ammerland</t>
  </si>
  <si>
    <t>LK Aurich</t>
  </si>
  <si>
    <t>LK Cloppenburg</t>
  </si>
  <si>
    <t>LK Emsland</t>
  </si>
  <si>
    <t>LK Friesland</t>
  </si>
  <si>
    <t>LK Grafschaft Bentheim</t>
  </si>
  <si>
    <t>LK Leer</t>
  </si>
  <si>
    <t>LK Oldenburg</t>
  </si>
  <si>
    <t>LK Osnabrück</t>
  </si>
  <si>
    <t>LK Vechta</t>
  </si>
  <si>
    <t>LK Wesermarsch</t>
  </si>
  <si>
    <t>LK Wittmund</t>
  </si>
  <si>
    <t>Bremen</t>
  </si>
  <si>
    <t>SK Bremen</t>
  </si>
  <si>
    <t>SK Bremerhaven</t>
  </si>
  <si>
    <t>Nordrhein-Westfalen</t>
  </si>
  <si>
    <t>SK Düsseldorf</t>
  </si>
  <si>
    <t>SK Duisburg</t>
  </si>
  <si>
    <t>SK Essen</t>
  </si>
  <si>
    <t>SK Krefeld</t>
  </si>
  <si>
    <t>SK Mönchengladbach</t>
  </si>
  <si>
    <t>SK Mülheim a.d.Ruhr</t>
  </si>
  <si>
    <t>SK Oberhausen</t>
  </si>
  <si>
    <t>SK Remscheid</t>
  </si>
  <si>
    <t>SK Solingen</t>
  </si>
  <si>
    <t>SK Wuppertal</t>
  </si>
  <si>
    <t>LK Kleve</t>
  </si>
  <si>
    <t>LK Mettmann</t>
  </si>
  <si>
    <t>LK Rhein-Kreis Neuss</t>
  </si>
  <si>
    <t>LK Viersen</t>
  </si>
  <si>
    <t>LK Wesel</t>
  </si>
  <si>
    <t>SK Bonn</t>
  </si>
  <si>
    <t>SK Köln</t>
  </si>
  <si>
    <t>SK Leverkusen</t>
  </si>
  <si>
    <t>StadtRegion Aachen</t>
  </si>
  <si>
    <t>LK Düren</t>
  </si>
  <si>
    <t>LK Rhein-Erft-Kreis</t>
  </si>
  <si>
    <t>LK Euskirchen</t>
  </si>
  <si>
    <t>LK Heinsberg</t>
  </si>
  <si>
    <t>LK Oberbergischer Kreis</t>
  </si>
  <si>
    <t>LK Rheinisch-Bergischer Kreis</t>
  </si>
  <si>
    <t>LK Rhein-Sieg-Kreis</t>
  </si>
  <si>
    <t>SK Bottrop</t>
  </si>
  <si>
    <t>SK Gelsenkirchen</t>
  </si>
  <si>
    <t>SK Münster</t>
  </si>
  <si>
    <t>LK Borken</t>
  </si>
  <si>
    <t>LK Coesfeld</t>
  </si>
  <si>
    <t>LK Recklinghausen</t>
  </si>
  <si>
    <t>LK Steinfurt</t>
  </si>
  <si>
    <t>LK Warendorf</t>
  </si>
  <si>
    <t>SK Bielefeld</t>
  </si>
  <si>
    <t>LK Gütersloh</t>
  </si>
  <si>
    <t>LK Herford</t>
  </si>
  <si>
    <t>LK Höxter</t>
  </si>
  <si>
    <t>LK Lippe</t>
  </si>
  <si>
    <t>LK Minden-Lübbecke</t>
  </si>
  <si>
    <t>LK Paderborn</t>
  </si>
  <si>
    <t>SK Bochum</t>
  </si>
  <si>
    <t>SK Dortmund</t>
  </si>
  <si>
    <t>SK Hagen</t>
  </si>
  <si>
    <t>SK Hamm</t>
  </si>
  <si>
    <t>SK Herne</t>
  </si>
  <si>
    <t>LK Ennepe-Ruhr-Kreis</t>
  </si>
  <si>
    <t>LK Hochsauerlandkreis</t>
  </si>
  <si>
    <t>LK Märkischer Kreis</t>
  </si>
  <si>
    <t>LK Olpe</t>
  </si>
  <si>
    <t>LK Siegen-Wittgenstein</t>
  </si>
  <si>
    <t>LK Soest</t>
  </si>
  <si>
    <t>LK Unna</t>
  </si>
  <si>
    <t>Hessen</t>
  </si>
  <si>
    <t>SK Darmstadt</t>
  </si>
  <si>
    <t>SK Frankfurt am Main</t>
  </si>
  <si>
    <t>SK Offenbach</t>
  </si>
  <si>
    <t>SK Wiesbaden</t>
  </si>
  <si>
    <t>LK Bergstraße</t>
  </si>
  <si>
    <t>LK Darmstadt-Dieburg</t>
  </si>
  <si>
    <t>LK Groß-Gerau</t>
  </si>
  <si>
    <t>LK Hochtaunuskreis</t>
  </si>
  <si>
    <t>LK Main-Kinzig-Kreis</t>
  </si>
  <si>
    <t>LK Main-Taunus-Kreis</t>
  </si>
  <si>
    <t>LK Odenwaldkreis</t>
  </si>
  <si>
    <t>LK Offenbach</t>
  </si>
  <si>
    <t>LK Rheingau-Taunus-Kreis</t>
  </si>
  <si>
    <t>LK Wetteraukreis</t>
  </si>
  <si>
    <t>LK Gießen</t>
  </si>
  <si>
    <t>LK Lahn-Dill-Kreis</t>
  </si>
  <si>
    <t>LK Limburg-Weilburg</t>
  </si>
  <si>
    <t>LK Marburg-Biedenkopf</t>
  </si>
  <si>
    <t>LK Vogelsbergkreis</t>
  </si>
  <si>
    <t>SK Kassel</t>
  </si>
  <si>
    <t>LK Fulda</t>
  </si>
  <si>
    <t>LK Hersfeld-Rotenburg</t>
  </si>
  <si>
    <t>LK Kassel</t>
  </si>
  <si>
    <t>LK Schwalm-Eder-Kreis</t>
  </si>
  <si>
    <t>LK Waldeck-Frankenberg</t>
  </si>
  <si>
    <t>LK Werra-Meißner-Kreis</t>
  </si>
  <si>
    <t>Rheinland-Pfalz</t>
  </si>
  <si>
    <t>SK Koblenz</t>
  </si>
  <si>
    <t>LK Ahrweiler</t>
  </si>
  <si>
    <t>LK Altenkirchen</t>
  </si>
  <si>
    <t>LK Bad Kreuznach</t>
  </si>
  <si>
    <t>LK Birkenfeld</t>
  </si>
  <si>
    <t>LK Cochem-Zell</t>
  </si>
  <si>
    <t>LK Mayen-Koblenz</t>
  </si>
  <si>
    <t>LK Neuwied</t>
  </si>
  <si>
    <t>LK Rhein-Hunsrück-Kreis</t>
  </si>
  <si>
    <t>LK Rhein-Lahn-Kreis</t>
  </si>
  <si>
    <t>LK Westerwaldkreis</t>
  </si>
  <si>
    <t>SK Trier</t>
  </si>
  <si>
    <t>LK Bernkastel-Wittlich</t>
  </si>
  <si>
    <t>LK Bitburg-Prüm</t>
  </si>
  <si>
    <t>LK Vulkaneifel</t>
  </si>
  <si>
    <t>LK Trier-Saarburg</t>
  </si>
  <si>
    <t>SK Frankenthal</t>
  </si>
  <si>
    <t>SK Kaiserslautern</t>
  </si>
  <si>
    <t>SK Landau i.d.Pfalz</t>
  </si>
  <si>
    <t>SK Ludwigshafen</t>
  </si>
  <si>
    <t>SK Mainz</t>
  </si>
  <si>
    <t>SK Neustadt a.d.Weinstraße</t>
  </si>
  <si>
    <t>SK Pirmasens</t>
  </si>
  <si>
    <t>SK Speyer</t>
  </si>
  <si>
    <t>SK Worms</t>
  </si>
  <si>
    <t>SK Zweibrücken</t>
  </si>
  <si>
    <t>LK Alzey-Worms</t>
  </si>
  <si>
    <t>LK Bad Dürkheim</t>
  </si>
  <si>
    <t>LK Donnersbergkreis</t>
  </si>
  <si>
    <t>LK Germersheim</t>
  </si>
  <si>
    <t>LK Kaiserslautern</t>
  </si>
  <si>
    <t>LK Kusel</t>
  </si>
  <si>
    <t>LK Südliche Weinstraße</t>
  </si>
  <si>
    <t>LK Rhein-Pfalz-Kreis</t>
  </si>
  <si>
    <t>LK Mainz-Bingen</t>
  </si>
  <si>
    <t>LK Südwestpfalz</t>
  </si>
  <si>
    <t>Baden-Württemberg</t>
  </si>
  <si>
    <t>SK Stuttgart</t>
  </si>
  <si>
    <t>LK Böblingen</t>
  </si>
  <si>
    <t>LK Esslingen</t>
  </si>
  <si>
    <t>LK Göppingen</t>
  </si>
  <si>
    <t>LK Ludwigsburg</t>
  </si>
  <si>
    <t>LK Rems-Murr-Kreis</t>
  </si>
  <si>
    <t>SK Heilbronn</t>
  </si>
  <si>
    <t>LK Heilbronn</t>
  </si>
  <si>
    <t>LK Hohenlohekreis</t>
  </si>
  <si>
    <t>LK Schwäbisch Hall</t>
  </si>
  <si>
    <t>LK Main-Tauber-Kreis</t>
  </si>
  <si>
    <t>LK Heidenheim</t>
  </si>
  <si>
    <t>LK Ostalbkreis</t>
  </si>
  <si>
    <t>SK Baden-Baden</t>
  </si>
  <si>
    <t>SK Karlsruhe</t>
  </si>
  <si>
    <t>LK Karlsruhe</t>
  </si>
  <si>
    <t>LK Rastatt</t>
  </si>
  <si>
    <t>SK Heidelberg</t>
  </si>
  <si>
    <t>SK Mannheim</t>
  </si>
  <si>
    <t>LK Neckar-Odenwald-Kreis</t>
  </si>
  <si>
    <t>LK Rhein-Neckar-Kreis</t>
  </si>
  <si>
    <t>SK Pforzheim</t>
  </si>
  <si>
    <t>LK Calw</t>
  </si>
  <si>
    <t>LK Enzkreis</t>
  </si>
  <si>
    <t>LK Freudenstadt</t>
  </si>
  <si>
    <t>SK Freiburg i.Breisgau</t>
  </si>
  <si>
    <t>LK Breisgau-Hochschwarzwald</t>
  </si>
  <si>
    <t>LK Emmendingen</t>
  </si>
  <si>
    <t>LK Ortenaukreis</t>
  </si>
  <si>
    <t>LK Rottweil</t>
  </si>
  <si>
    <t>LK Schwarzwald-Baar-Kreis</t>
  </si>
  <si>
    <t>LK Tuttlingen</t>
  </si>
  <si>
    <t>LK Konstanz</t>
  </si>
  <si>
    <t>LK Lörrach</t>
  </si>
  <si>
    <t>LK Waldshut</t>
  </si>
  <si>
    <t>LK Reutlingen</t>
  </si>
  <si>
    <t>LK Tübingen</t>
  </si>
  <si>
    <t>LK Zollernalbkreis</t>
  </si>
  <si>
    <t>SK Ulm</t>
  </si>
  <si>
    <t>LK Alb-Donau-Kreis</t>
  </si>
  <si>
    <t>LK Biberach</t>
  </si>
  <si>
    <t>LK Bodenseekreis</t>
  </si>
  <si>
    <t>LK Ravensburg</t>
  </si>
  <si>
    <t>LK Sigmaringen</t>
  </si>
  <si>
    <t>Bayern</t>
  </si>
  <si>
    <t>SK Ingolstadt</t>
  </si>
  <si>
    <t>SK München</t>
  </si>
  <si>
    <t>SK Rosenheim</t>
  </si>
  <si>
    <t>LK Altötting</t>
  </si>
  <si>
    <t>LK Berchtesgadener Land</t>
  </si>
  <si>
    <t>LK Bad Tölz-Wolfratshausen</t>
  </si>
  <si>
    <t>LK Dachau</t>
  </si>
  <si>
    <t>LK Ebersberg</t>
  </si>
  <si>
    <t>LK Eichstätt</t>
  </si>
  <si>
    <t>LK Erding</t>
  </si>
  <si>
    <t>LK Freising</t>
  </si>
  <si>
    <t>LK Fürstenfeldbruck</t>
  </si>
  <si>
    <t>LK Garmisch-Partenkirchen</t>
  </si>
  <si>
    <t>LK Landsberg a.Lech</t>
  </si>
  <si>
    <t>LK Miesbach</t>
  </si>
  <si>
    <t>LK Mühldorf a.Inn</t>
  </si>
  <si>
    <t>LK München</t>
  </si>
  <si>
    <t>LK Neuburg-Schrobenhausen</t>
  </si>
  <si>
    <t>LK Pfaffenhofen a.d.Ilm</t>
  </si>
  <si>
    <t>LK Rosenheim</t>
  </si>
  <si>
    <t>LK Starnberg</t>
  </si>
  <si>
    <t>LK Traunstein</t>
  </si>
  <si>
    <t>LK Weilheim-Schongau</t>
  </si>
  <si>
    <t>SK Landshut</t>
  </si>
  <si>
    <t>SK Passau</t>
  </si>
  <si>
    <t>SK Straubing</t>
  </si>
  <si>
    <t>LK Deggendorf</t>
  </si>
  <si>
    <t>LK Freyung-Grafenau</t>
  </si>
  <si>
    <t>LK Kelheim</t>
  </si>
  <si>
    <t>LK Landshut</t>
  </si>
  <si>
    <t>LK Passau</t>
  </si>
  <si>
    <t>LK Regen</t>
  </si>
  <si>
    <t>LK Rottal-Inn</t>
  </si>
  <si>
    <t>LK Straubing-Bogen</t>
  </si>
  <si>
    <t>LK Dingolfing-Landau</t>
  </si>
  <si>
    <t>SK Amberg</t>
  </si>
  <si>
    <t>SK Regensburg</t>
  </si>
  <si>
    <t>SK Weiden i.d.OPf.</t>
  </si>
  <si>
    <t>LK Amberg-Sulzbach</t>
  </si>
  <si>
    <t>LK Cham</t>
  </si>
  <si>
    <t>LK Neumarkt i.d.OPf.</t>
  </si>
  <si>
    <t>LK Neustadt a.d.Waldnaab</t>
  </si>
  <si>
    <t>LK Regensburg</t>
  </si>
  <si>
    <t>LK Schwandorf</t>
  </si>
  <si>
    <t>LK Tirschenreuth</t>
  </si>
  <si>
    <t>SK Bamberg</t>
  </si>
  <si>
    <t>SK Bayreuth</t>
  </si>
  <si>
    <t>SK Coburg</t>
  </si>
  <si>
    <t>SK Hof</t>
  </si>
  <si>
    <t>LK Bamberg</t>
  </si>
  <si>
    <t>LK Bayreuth</t>
  </si>
  <si>
    <t>LK Coburg</t>
  </si>
  <si>
    <t>LK Forchheim</t>
  </si>
  <si>
    <t>LK Hof</t>
  </si>
  <si>
    <t>LK Kronach</t>
  </si>
  <si>
    <t>LK Kulmbach</t>
  </si>
  <si>
    <t>LK Lichtenfels</t>
  </si>
  <si>
    <t>LK Wunsiedel i.Fichtelgebirge</t>
  </si>
  <si>
    <t>SK Ansbach</t>
  </si>
  <si>
    <t>SK Erlangen</t>
  </si>
  <si>
    <t>SK Fürth</t>
  </si>
  <si>
    <t>SK Nürnberg</t>
  </si>
  <si>
    <t>SK Schwabach</t>
  </si>
  <si>
    <t>LK Ansbach</t>
  </si>
  <si>
    <t>LK Erlangen-Höchstadt</t>
  </si>
  <si>
    <t>LK Fürth</t>
  </si>
  <si>
    <t>LK Nürnberger Land</t>
  </si>
  <si>
    <t>LK Neustadt a.d.Aisch-Bad Windsheim</t>
  </si>
  <si>
    <t>LK Roth</t>
  </si>
  <si>
    <t>LK Weißenburg-Gunzenhausen</t>
  </si>
  <si>
    <t>SK Aschaffenburg</t>
  </si>
  <si>
    <t>SK Schweinfurt</t>
  </si>
  <si>
    <t>SK Würzburg</t>
  </si>
  <si>
    <t>LK Aschaffenburg</t>
  </si>
  <si>
    <t>LK Bad Kissingen</t>
  </si>
  <si>
    <t>LK Rhön-Grabfeld</t>
  </si>
  <si>
    <t>LK Haßberge</t>
  </si>
  <si>
    <t>LK Kitzingen</t>
  </si>
  <si>
    <t>LK Miltenberg</t>
  </si>
  <si>
    <t>LK Main-Spessart</t>
  </si>
  <si>
    <t>LK Schweinfurt</t>
  </si>
  <si>
    <t>LK Würzburg</t>
  </si>
  <si>
    <t>SK Augsburg</t>
  </si>
  <si>
    <t>SK Kaufbeuren</t>
  </si>
  <si>
    <t>SK Kempten</t>
  </si>
  <si>
    <t>SK Memmingen</t>
  </si>
  <si>
    <t>LK Aichach-Friedberg</t>
  </si>
  <si>
    <t>LK Augsburg</t>
  </si>
  <si>
    <t>LK Dillingen a.d.Donau</t>
  </si>
  <si>
    <t>LK Günzburg</t>
  </si>
  <si>
    <t>LK Neu-Ulm</t>
  </si>
  <si>
    <t>LK Lindau</t>
  </si>
  <si>
    <t>LK Ostallgäu</t>
  </si>
  <si>
    <t>LK Unterallgäu</t>
  </si>
  <si>
    <t>LK Donau-Ries</t>
  </si>
  <si>
    <t>LK Oberallgäu</t>
  </si>
  <si>
    <t>Saarland</t>
  </si>
  <si>
    <t>LK Stadtverband Saarbrücken</t>
  </si>
  <si>
    <t>LK Merzig-Wadern</t>
  </si>
  <si>
    <t>LK Neunkirchen</t>
  </si>
  <si>
    <t>LK Saarlouis</t>
  </si>
  <si>
    <t>LK Saarpfalz-Kreis</t>
  </si>
  <si>
    <t>LK Sankt Wendel</t>
  </si>
  <si>
    <t>Berlin</t>
  </si>
  <si>
    <t>SK Berlin Mitte</t>
  </si>
  <si>
    <t>SK Berlin Friedrichshain-Kreuzberg</t>
  </si>
  <si>
    <t>SK Berlin Pankow</t>
  </si>
  <si>
    <t>SK Berlin Charlottenburg-Wilmersdorf</t>
  </si>
  <si>
    <t>SK Berlin Spandau</t>
  </si>
  <si>
    <t>SK Berlin Steglitz-Zehlendorf</t>
  </si>
  <si>
    <t>SK Berlin Tempelhof-Schöneberg</t>
  </si>
  <si>
    <t>SK Berlin Neukölln</t>
  </si>
  <si>
    <t>SK Berlin Treptow-Köpenick</t>
  </si>
  <si>
    <t>SK Berlin Marzahn-Hellersdorf</t>
  </si>
  <si>
    <t>SK Berlin Lichtenberg</t>
  </si>
  <si>
    <t>SK Berlin Reinickendorf</t>
  </si>
  <si>
    <t>Brandenburg</t>
  </si>
  <si>
    <t>SK Brandenburg a.d.Havel</t>
  </si>
  <si>
    <t>SK Cottbus</t>
  </si>
  <si>
    <t>SK Frankfurt (Oder)</t>
  </si>
  <si>
    <t>SK Potsdam</t>
  </si>
  <si>
    <t>LK Barnim</t>
  </si>
  <si>
    <t>LK Dahme-Spreewald</t>
  </si>
  <si>
    <t>LK Elbe-Elster</t>
  </si>
  <si>
    <t>LK Havelland</t>
  </si>
  <si>
    <t>LK Märkisch-Oderland</t>
  </si>
  <si>
    <t>LK Oberhavel</t>
  </si>
  <si>
    <t>LK Oberspreewald-Lausitz</t>
  </si>
  <si>
    <t>LK Oder-Spree</t>
  </si>
  <si>
    <t>LK Ostprignitz-Ruppin</t>
  </si>
  <si>
    <t>LK Potsdam-Mittelmark</t>
  </si>
  <si>
    <t>LK Prignitz</t>
  </si>
  <si>
    <t>LK Spree-Neiße</t>
  </si>
  <si>
    <t>LK Teltow-Fläming</t>
  </si>
  <si>
    <t>LK Uckermark</t>
  </si>
  <si>
    <t>Mecklenburg-Vorpommern</t>
  </si>
  <si>
    <t>SK Rostock</t>
  </si>
  <si>
    <t>SK Schwerin</t>
  </si>
  <si>
    <t>LK Mecklenburgische Seenplatte</t>
  </si>
  <si>
    <t>LK Rostock</t>
  </si>
  <si>
    <t>LK Vorpommern-Rügen</t>
  </si>
  <si>
    <t>LK Nordwestmecklenburg</t>
  </si>
  <si>
    <t>LK Vorpommern-Greifswald</t>
  </si>
  <si>
    <t>LK Ludwigslust-Parchim</t>
  </si>
  <si>
    <t>Sachsen</t>
  </si>
  <si>
    <t>SK Chemnitz</t>
  </si>
  <si>
    <t>LK Erzgebirgskreis</t>
  </si>
  <si>
    <t>LK Mittelsachsen</t>
  </si>
  <si>
    <t>LK Vogtlandkreis</t>
  </si>
  <si>
    <t>LK Zwickau</t>
  </si>
  <si>
    <t>SK Dresden</t>
  </si>
  <si>
    <t>LK Bautzen</t>
  </si>
  <si>
    <t>LK Görlitz</t>
  </si>
  <si>
    <t>LK Meißen</t>
  </si>
  <si>
    <t>LK Sächsische Schweiz-Osterzgebirge</t>
  </si>
  <si>
    <t>SK Leipzig</t>
  </si>
  <si>
    <t>LK Leipzig</t>
  </si>
  <si>
    <t>LK Nordsachsen</t>
  </si>
  <si>
    <t>Sachsen-Anhalt</t>
  </si>
  <si>
    <t>SK Dessau-Roßlau</t>
  </si>
  <si>
    <t>SK Halle</t>
  </si>
  <si>
    <t>SK Magdeburg</t>
  </si>
  <si>
    <t>LK Altmarkkreis Salzwedel</t>
  </si>
  <si>
    <t>LK Anhalt-Bitterfeld</t>
  </si>
  <si>
    <t>LK Börde</t>
  </si>
  <si>
    <t>LK Burgenlandkreis</t>
  </si>
  <si>
    <t>LK Harz</t>
  </si>
  <si>
    <t>LK Jerichower Land</t>
  </si>
  <si>
    <t>LK Mansfeld-Südharz</t>
  </si>
  <si>
    <t>LK Saalekreis</t>
  </si>
  <si>
    <t>LK Salzlandkreis</t>
  </si>
  <si>
    <t>LK Stendal</t>
  </si>
  <si>
    <t>LK Wittenberg</t>
  </si>
  <si>
    <t>Thüringen</t>
  </si>
  <si>
    <t>SK Erfurt</t>
  </si>
  <si>
    <t>SK Gera</t>
  </si>
  <si>
    <t>SK Jena</t>
  </si>
  <si>
    <t>SK Suhl</t>
  </si>
  <si>
    <t>SK Weimar</t>
  </si>
  <si>
    <t>Inzidenz7Tage/100000</t>
  </si>
  <si>
    <t>Datenstand</t>
  </si>
  <si>
    <t>IdLandkreis</t>
  </si>
  <si>
    <t>AnzahlFall_7d</t>
  </si>
  <si>
    <t>SK Eisenach</t>
  </si>
  <si>
    <t>LK Eichsfeld</t>
  </si>
  <si>
    <t>LK Nordhausen</t>
  </si>
  <si>
    <t>LK Wartburgkreis</t>
  </si>
  <si>
    <t>LK Unstrut-Hainich-Kreis</t>
  </si>
  <si>
    <t>LK Kyffhäuserkreis</t>
  </si>
  <si>
    <t>LK Schmalkalden-Meiningen</t>
  </si>
  <si>
    <t>LK Gotha</t>
  </si>
  <si>
    <t>LK Sömmerda</t>
  </si>
  <si>
    <t>LK Hildburghausen</t>
  </si>
  <si>
    <t>LK Ilm-Kreis</t>
  </si>
  <si>
    <t>LK Weimarer Land</t>
  </si>
  <si>
    <t>LK Sonneberg</t>
  </si>
  <si>
    <t>LK Saalfeld-Rudolstadt</t>
  </si>
  <si>
    <t>LK Saale-Holzland-Kreis</t>
  </si>
  <si>
    <t>LK Saale-Orla-Kreis</t>
  </si>
  <si>
    <t>LK Greiz</t>
  </si>
  <si>
    <t>LK Altenburger Land</t>
  </si>
  <si>
    <t>Landkreis</t>
  </si>
  <si>
    <t>incidence_7d</t>
  </si>
  <si>
    <t>SK LÃ¼beck</t>
  </si>
  <si>
    <t>SK NeumÃ¼nster</t>
  </si>
  <si>
    <t>LK PlÃ¶n</t>
  </si>
  <si>
    <t>LK Rendsburg-EckernfÃ¶rde</t>
  </si>
  <si>
    <t>LK WolfenbÃ¼ttel</t>
  </si>
  <si>
    <t>LK GÃ¶ttingen</t>
  </si>
  <si>
    <t>LK LÃ¼chow-Dannenberg</t>
  </si>
  <si>
    <t>LK LÃ¼neburg</t>
  </si>
  <si>
    <t>LK Rotenburg (WÃ¼mme)</t>
  </si>
  <si>
    <t>SK OsnabrÃ¼ck</t>
  </si>
  <si>
    <t>LK OsnabrÃ¼ck</t>
  </si>
  <si>
    <t>SK DÃ¼sseldorf</t>
  </si>
  <si>
    <t>SK MÃ¶nchengladbach</t>
  </si>
  <si>
    <t>SK MÃ¼lheim a.d.Ruhr</t>
  </si>
  <si>
    <t>SK KÃ¶ln</t>
  </si>
  <si>
    <t>LK DÃ¼ren</t>
  </si>
  <si>
    <t>SK MÃ¼nster</t>
  </si>
  <si>
    <t>LK GÃ¼tersloh</t>
  </si>
  <si>
    <t>LK HÃ¶xter</t>
  </si>
  <si>
    <t>LK Minden-LÃ¼bbecke</t>
  </si>
  <si>
    <t>LK MÃ¤rkischer Kreis</t>
  </si>
  <si>
    <t>LK BergstraÃŸe</t>
  </si>
  <si>
    <t>LK GroÃŸ-Gerau</t>
  </si>
  <si>
    <t>LK GieÃŸen</t>
  </si>
  <si>
    <t>LK Werra-MeiÃŸner-Kreis</t>
  </si>
  <si>
    <t>LK Rhein-HunsrÃ¼ck-Kreis</t>
  </si>
  <si>
    <t>LK Bitburg-PrÃ¼m</t>
  </si>
  <si>
    <t>SK Neustadt a.d.WeinstraÃŸe</t>
  </si>
  <si>
    <t>SK ZweibrÃ¼cken</t>
  </si>
  <si>
    <t>LK Bad DÃ¼rkheim</t>
  </si>
  <si>
    <t>LK SÃ¼dliche WeinstraÃŸe</t>
  </si>
  <si>
    <t>LK SÃ¼dwestpfalz</t>
  </si>
  <si>
    <t>LK BÃ¶blingen</t>
  </si>
  <si>
    <t>LK GÃ¶ppingen</t>
  </si>
  <si>
    <t>LK SchwÃ¤bisch Hall</t>
  </si>
  <si>
    <t>LK LÃ¶rrach</t>
  </si>
  <si>
    <t>LK TÃ¼bingen</t>
  </si>
  <si>
    <t>SK MÃ¼nchen</t>
  </si>
  <si>
    <t>LK AltÃ¶tting</t>
  </si>
  <si>
    <t>LK Bad TÃ¶lz-Wolfratshausen</t>
  </si>
  <si>
    <t>LK EichstÃ¤tt</t>
  </si>
  <si>
    <t>LK FÃ¼rstenfeldbruck</t>
  </si>
  <si>
    <t>LK MÃ¼hldorf a.Inn</t>
  </si>
  <si>
    <t>LK MÃ¼nchen</t>
  </si>
  <si>
    <t>SK FÃ¼rth</t>
  </si>
  <si>
    <t>SK NÃ¼rnberg</t>
  </si>
  <si>
    <t>LK Erlangen-HÃ¶chstadt</t>
  </si>
  <si>
    <t>LK FÃ¼rth</t>
  </si>
  <si>
    <t>LK NÃ¼rnberger Land</t>
  </si>
  <si>
    <t>LK WeiÃŸenburg-Gunzenhausen</t>
  </si>
  <si>
    <t>SK WÃ¼rzburg</t>
  </si>
  <si>
    <t>LK RhÃ¶n-Grabfeld</t>
  </si>
  <si>
    <t>LK HaÃŸberge</t>
  </si>
  <si>
    <t>LK WÃ¼rzburg</t>
  </si>
  <si>
    <t>LK GÃ¼nzburg</t>
  </si>
  <si>
    <t>LK OstallgÃ¤u</t>
  </si>
  <si>
    <t>LK UnterallgÃ¤u</t>
  </si>
  <si>
    <t>LK OberallgÃ¤u</t>
  </si>
  <si>
    <t>LK Stadtverband SaarbrÃ¼cken</t>
  </si>
  <si>
    <t>SK Berlin Tempelhof-SchÃ¶neberg</t>
  </si>
  <si>
    <t>SK Berlin NeukÃ¶lln</t>
  </si>
  <si>
    <t>SK Berlin Treptow-KÃ¶penick</t>
  </si>
  <si>
    <t>LK MÃ¤rkisch-Oderland</t>
  </si>
  <si>
    <t>LK Spree-NeiÃŸe</t>
  </si>
  <si>
    <t>LK Teltow-FlÃ¤ming</t>
  </si>
  <si>
    <t>LK Vorpommern-RÃ¼gen</t>
  </si>
  <si>
    <t>LK GÃ¶rlitz</t>
  </si>
  <si>
    <t>LK MeiÃŸen</t>
  </si>
  <si>
    <t>LK SÃ¤chsische Schweiz-Osterzgebirge</t>
  </si>
  <si>
    <t>SK Dessau-RoÃŸlau</t>
  </si>
  <si>
    <t>LK BÃ¶rde</t>
  </si>
  <si>
    <t>LK Mansfeld-SÃ¼dharz</t>
  </si>
  <si>
    <t>LK KyffhÃ¤userkreis</t>
  </si>
  <si>
    <t>LK SÃ¶mmerda</t>
  </si>
  <si>
    <t>männlich</t>
  </si>
  <si>
    <t>weiblich</t>
  </si>
  <si>
    <t>StÃ¤dteRegion Aachen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</si>
</sst>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  <xf numFmtId="0" fontId="18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/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Standard 2 2" xfId="43"/>
    <cellStyle name="Standard 4 2" xfId="42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evoelkerung_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Bevoelkerung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A417"/>
  <sheetViews>
    <sheetView tabSelected="1" topLeftCell="A400" zoomScaleNormal="100" workbookViewId="0">
      <selection activeCell="L414" sqref="L414:AA414"/>
    </sheetView>
  </sheetViews>
  <sheetFormatPr baseColWidth="10" defaultRowHeight="15" x14ac:dyDescent="0.25"/>
  <cols>
    <col min="1" max="1" width="11.140625" style="1" bestFit="1" customWidth="1"/>
    <col min="2" max="2" width="13.140625" bestFit="1" customWidth="1"/>
    <col min="3" max="3" width="11.140625" style="5" bestFit="1" customWidth="1"/>
    <col min="4" max="4" width="35.42578125" bestFit="1" customWidth="1"/>
    <col min="5" max="5" width="10.140625" bestFit="1" customWidth="1"/>
    <col min="6" max="6" width="15.140625" bestFit="1" customWidth="1"/>
    <col min="7" max="7" width="14.5703125" bestFit="1" customWidth="1"/>
    <col min="8" max="8" width="19.7109375" bestFit="1" customWidth="1"/>
    <col min="9" max="9" width="13.28515625" style="1" bestFit="1" customWidth="1"/>
    <col min="10" max="10" width="12.7109375" style="1" bestFit="1" customWidth="1"/>
    <col min="11" max="11" width="10.5703125" bestFit="1" customWidth="1"/>
    <col min="12" max="12" width="20.5703125" bestFit="1" customWidth="1"/>
    <col min="13" max="19" width="2" style="3" bestFit="1" customWidth="1"/>
    <col min="20" max="20" width="3" style="3" bestFit="1" customWidth="1"/>
    <col min="21" max="23" width="4" style="3" bestFit="1" customWidth="1"/>
    <col min="24" max="26" width="2" style="3" bestFit="1" customWidth="1"/>
    <col min="27" max="27" width="4" style="3" bestFit="1" customWidth="1"/>
  </cols>
  <sheetData>
    <row r="1" spans="1:12" x14ac:dyDescent="0.25">
      <c r="A1" t="s">
        <v>417</v>
      </c>
      <c r="B1" t="s">
        <v>418</v>
      </c>
      <c r="C1" t="s">
        <v>438</v>
      </c>
      <c r="D1" t="s">
        <v>419</v>
      </c>
      <c r="E1" t="s">
        <v>439</v>
      </c>
      <c r="I1"/>
      <c r="J1"/>
      <c r="K1" t="s">
        <v>4</v>
      </c>
      <c r="L1" t="s">
        <v>416</v>
      </c>
    </row>
    <row r="2" spans="1:12" x14ac:dyDescent="0.25">
      <c r="A2" s="1">
        <v>45312</v>
      </c>
      <c r="B2">
        <v>1001</v>
      </c>
      <c r="C2" t="s">
        <v>7</v>
      </c>
      <c r="D2">
        <v>2</v>
      </c>
      <c r="E2">
        <v>2.1950764435371402</v>
      </c>
      <c r="I2"/>
      <c r="J2"/>
      <c r="K2">
        <f>INDEX(Tabelle2!E:E,SUMPRODUCT((Tabelle2!$A$1:$A$1716=B2)*(Tabelle2!$C$1:$C$1716&lt;=A2)*(Tabelle2!$D$1:$D$1716&gt;=A2)*ROW(Tabelle2!$1:$1716)))</f>
        <v>91113</v>
      </c>
      <c r="L2">
        <f>D2/K2*100000</f>
        <v>2.1950764435371459</v>
      </c>
    </row>
    <row r="3" spans="1:12" x14ac:dyDescent="0.25">
      <c r="A3" s="1">
        <v>45312</v>
      </c>
      <c r="B3">
        <v>1002</v>
      </c>
      <c r="C3" t="s">
        <v>8</v>
      </c>
      <c r="D3">
        <v>18</v>
      </c>
      <c r="E3">
        <v>7.3098524628111203</v>
      </c>
      <c r="I3"/>
      <c r="J3"/>
      <c r="K3">
        <f>INDEX(Tabelle2!E:E,SUMPRODUCT((Tabelle2!$A$1:$A$1716=B3)*(Tabelle2!$C$1:$C$1716&lt;=A3)*(Tabelle2!$D$1:$D$1716&gt;=A3)*ROW(Tabelle2!$1:$1716)))</f>
        <v>246243</v>
      </c>
      <c r="L3">
        <f t="shared" ref="L3:L66" si="0">D3/K3*100000</f>
        <v>7.3098524628111257</v>
      </c>
    </row>
    <row r="4" spans="1:12" x14ac:dyDescent="0.25">
      <c r="A4" s="1">
        <v>45312</v>
      </c>
      <c r="B4">
        <v>1003</v>
      </c>
      <c r="C4" t="s">
        <v>440</v>
      </c>
      <c r="D4">
        <v>12</v>
      </c>
      <c r="E4">
        <v>5.54844019475025</v>
      </c>
      <c r="I4"/>
      <c r="J4"/>
      <c r="K4">
        <f>INDEX(Tabelle2!E:E,SUMPRODUCT((Tabelle2!$A$1:$A$1716=B4)*(Tabelle2!$C$1:$C$1716&lt;=A4)*(Tabelle2!$D$1:$D$1716&gt;=A4)*ROW(Tabelle2!$1:$1716)))</f>
        <v>216277</v>
      </c>
      <c r="L4">
        <f t="shared" si="0"/>
        <v>5.5484401947502509</v>
      </c>
    </row>
    <row r="5" spans="1:12" x14ac:dyDescent="0.25">
      <c r="A5" s="1">
        <v>45312</v>
      </c>
      <c r="B5">
        <v>1004</v>
      </c>
      <c r="C5" t="s">
        <v>441</v>
      </c>
      <c r="D5">
        <v>8</v>
      </c>
      <c r="E5">
        <v>10.063399416322801</v>
      </c>
      <c r="I5"/>
      <c r="J5"/>
      <c r="K5">
        <f>INDEX(Tabelle2!E:E,SUMPRODUCT((Tabelle2!$A$1:$A$1716=B5)*(Tabelle2!$C$1:$C$1716&lt;=A5)*(Tabelle2!$D$1:$D$1716&gt;=A5)*ROW(Tabelle2!$1:$1716)))</f>
        <v>79496</v>
      </c>
      <c r="L5">
        <f t="shared" si="0"/>
        <v>10.063399416322834</v>
      </c>
    </row>
    <row r="6" spans="1:12" x14ac:dyDescent="0.25">
      <c r="A6" s="1">
        <v>45312</v>
      </c>
      <c r="B6">
        <v>1051</v>
      </c>
      <c r="C6" t="s">
        <v>11</v>
      </c>
      <c r="D6">
        <v>12</v>
      </c>
      <c r="E6">
        <v>8.9572960908866897</v>
      </c>
      <c r="I6"/>
      <c r="J6"/>
      <c r="K6">
        <f>INDEX(Tabelle2!E:E,SUMPRODUCT((Tabelle2!$A$1:$A$1716=B6)*(Tabelle2!$C$1:$C$1716&lt;=A6)*(Tabelle2!$D$1:$D$1716&gt;=A6)*ROW(Tabelle2!$1:$1716)))</f>
        <v>133969</v>
      </c>
      <c r="L6">
        <f t="shared" si="0"/>
        <v>8.9572960908866985</v>
      </c>
    </row>
    <row r="7" spans="1:12" x14ac:dyDescent="0.25">
      <c r="A7" s="1">
        <v>45312</v>
      </c>
      <c r="B7">
        <v>1053</v>
      </c>
      <c r="C7" t="s">
        <v>12</v>
      </c>
      <c r="D7">
        <v>15</v>
      </c>
      <c r="E7">
        <v>7.4694127547692197</v>
      </c>
      <c r="I7"/>
      <c r="J7"/>
      <c r="K7">
        <f>INDEX(Tabelle2!E:E,SUMPRODUCT((Tabelle2!$A$1:$A$1716=B7)*(Tabelle2!$C$1:$C$1716&lt;=A7)*(Tabelle2!$D$1:$D$1716&gt;=A7)*ROW(Tabelle2!$1:$1716)))</f>
        <v>200819</v>
      </c>
      <c r="L7">
        <f t="shared" si="0"/>
        <v>7.4694127547692206</v>
      </c>
    </row>
    <row r="8" spans="1:12" x14ac:dyDescent="0.25">
      <c r="A8" s="1">
        <v>45312</v>
      </c>
      <c r="B8">
        <v>1054</v>
      </c>
      <c r="C8" t="s">
        <v>13</v>
      </c>
      <c r="D8">
        <v>0</v>
      </c>
      <c r="E8">
        <v>0</v>
      </c>
      <c r="I8"/>
      <c r="J8"/>
      <c r="K8">
        <f>INDEX(Tabelle2!E:E,SUMPRODUCT((Tabelle2!$A$1:$A$1716=B8)*(Tabelle2!$C$1:$C$1716&lt;=A8)*(Tabelle2!$D$1:$D$1716&gt;=A8)*ROW(Tabelle2!$1:$1716)))</f>
        <v>167560</v>
      </c>
      <c r="L8">
        <f t="shared" si="0"/>
        <v>0</v>
      </c>
    </row>
    <row r="9" spans="1:12" x14ac:dyDescent="0.25">
      <c r="A9" s="1">
        <v>45312</v>
      </c>
      <c r="B9">
        <v>1055</v>
      </c>
      <c r="C9" t="s">
        <v>14</v>
      </c>
      <c r="D9">
        <v>6</v>
      </c>
      <c r="E9">
        <v>2.9700911817992801</v>
      </c>
      <c r="I9"/>
      <c r="J9"/>
      <c r="K9">
        <f>INDEX(Tabelle2!E:E,SUMPRODUCT((Tabelle2!$A$1:$A$1716=B9)*(Tabelle2!$C$1:$C$1716&lt;=A9)*(Tabelle2!$D$1:$D$1716&gt;=A9)*ROW(Tabelle2!$1:$1716)))</f>
        <v>202014</v>
      </c>
      <c r="L9">
        <f t="shared" si="0"/>
        <v>2.970091181799281</v>
      </c>
    </row>
    <row r="10" spans="1:12" x14ac:dyDescent="0.25">
      <c r="A10" s="1">
        <v>45312</v>
      </c>
      <c r="B10">
        <v>1056</v>
      </c>
      <c r="C10" t="s">
        <v>15</v>
      </c>
      <c r="D10">
        <v>26</v>
      </c>
      <c r="E10">
        <v>8.1677274240872499</v>
      </c>
      <c r="I10"/>
      <c r="J10"/>
      <c r="K10">
        <f>INDEX(Tabelle2!E:E,SUMPRODUCT((Tabelle2!$A$1:$A$1716=B10)*(Tabelle2!$C$1:$C$1716&lt;=A10)*(Tabelle2!$D$1:$D$1716&gt;=A10)*ROW(Tabelle2!$1:$1716)))</f>
        <v>318326</v>
      </c>
      <c r="L10">
        <f t="shared" si="0"/>
        <v>8.167727424087257</v>
      </c>
    </row>
    <row r="11" spans="1:12" x14ac:dyDescent="0.25">
      <c r="A11" s="1">
        <v>45312</v>
      </c>
      <c r="B11">
        <v>1057</v>
      </c>
      <c r="C11" t="s">
        <v>442</v>
      </c>
      <c r="D11">
        <v>8</v>
      </c>
      <c r="E11">
        <v>6.1686984817290798</v>
      </c>
      <c r="I11"/>
      <c r="J11"/>
      <c r="K11">
        <f>INDEX(Tabelle2!E:E,SUMPRODUCT((Tabelle2!$A$1:$A$1716=B11)*(Tabelle2!$C$1:$C$1716&lt;=A11)*(Tabelle2!$D$1:$D$1716&gt;=A11)*ROW(Tabelle2!$1:$1716)))</f>
        <v>129687</v>
      </c>
      <c r="L11">
        <f t="shared" si="0"/>
        <v>6.168698481729086</v>
      </c>
    </row>
    <row r="12" spans="1:12" x14ac:dyDescent="0.25">
      <c r="A12" s="1">
        <v>45312</v>
      </c>
      <c r="B12">
        <v>1058</v>
      </c>
      <c r="C12" t="s">
        <v>443</v>
      </c>
      <c r="D12">
        <v>20</v>
      </c>
      <c r="E12">
        <v>7.2449855643662602</v>
      </c>
      <c r="I12"/>
      <c r="J12"/>
      <c r="K12">
        <f>INDEX(Tabelle2!E:E,SUMPRODUCT((Tabelle2!$A$1:$A$1716=B12)*(Tabelle2!$C$1:$C$1716&lt;=A12)*(Tabelle2!$D$1:$D$1716&gt;=A12)*ROW(Tabelle2!$1:$1716)))</f>
        <v>276053</v>
      </c>
      <c r="L12">
        <f t="shared" si="0"/>
        <v>7.2449855643662637</v>
      </c>
    </row>
    <row r="13" spans="1:12" x14ac:dyDescent="0.25">
      <c r="A13" s="1">
        <v>45312</v>
      </c>
      <c r="B13">
        <v>1059</v>
      </c>
      <c r="C13" t="s">
        <v>18</v>
      </c>
      <c r="D13">
        <v>12</v>
      </c>
      <c r="E13">
        <v>5.8881545051742101</v>
      </c>
      <c r="I13"/>
      <c r="J13"/>
      <c r="K13">
        <f>INDEX(Tabelle2!E:E,SUMPRODUCT((Tabelle2!$A$1:$A$1716=B13)*(Tabelle2!$C$1:$C$1716&lt;=A13)*(Tabelle2!$D$1:$D$1716&gt;=A13)*ROW(Tabelle2!$1:$1716)))</f>
        <v>203799</v>
      </c>
      <c r="L13">
        <f t="shared" si="0"/>
        <v>5.8881545051742155</v>
      </c>
    </row>
    <row r="14" spans="1:12" x14ac:dyDescent="0.25">
      <c r="A14" s="1">
        <v>45312</v>
      </c>
      <c r="B14">
        <v>1060</v>
      </c>
      <c r="C14" t="s">
        <v>19</v>
      </c>
      <c r="D14">
        <v>22</v>
      </c>
      <c r="E14">
        <v>7.8459343794579102</v>
      </c>
      <c r="I14"/>
      <c r="J14"/>
      <c r="K14">
        <f>INDEX(Tabelle2!E:E,SUMPRODUCT((Tabelle2!$A$1:$A$1716=B14)*(Tabelle2!$C$1:$C$1716&lt;=A14)*(Tabelle2!$D$1:$D$1716&gt;=A14)*ROW(Tabelle2!$1:$1716)))</f>
        <v>280400</v>
      </c>
      <c r="L14">
        <f t="shared" si="0"/>
        <v>7.8459343794579182</v>
      </c>
    </row>
    <row r="15" spans="1:12" x14ac:dyDescent="0.25">
      <c r="A15" s="1">
        <v>45312</v>
      </c>
      <c r="B15">
        <v>1061</v>
      </c>
      <c r="C15" t="s">
        <v>20</v>
      </c>
      <c r="D15">
        <v>26</v>
      </c>
      <c r="E15">
        <v>19.871143278585699</v>
      </c>
      <c r="I15"/>
      <c r="J15"/>
      <c r="K15">
        <f>INDEX(Tabelle2!E:E,SUMPRODUCT((Tabelle2!$A$1:$A$1716=B15)*(Tabelle2!$C$1:$C$1716&lt;=A15)*(Tabelle2!$D$1:$D$1716&gt;=A15)*ROW(Tabelle2!$1:$1716)))</f>
        <v>130843</v>
      </c>
      <c r="L15">
        <f t="shared" si="0"/>
        <v>19.871143278585787</v>
      </c>
    </row>
    <row r="16" spans="1:12" x14ac:dyDescent="0.25">
      <c r="A16" s="1">
        <v>45312</v>
      </c>
      <c r="B16">
        <v>1062</v>
      </c>
      <c r="C16" t="s">
        <v>21</v>
      </c>
      <c r="D16">
        <v>6</v>
      </c>
      <c r="E16">
        <v>2.44492799687049</v>
      </c>
      <c r="I16"/>
      <c r="J16"/>
      <c r="K16">
        <f>INDEX(Tabelle2!E:E,SUMPRODUCT((Tabelle2!$A$1:$A$1716=B16)*(Tabelle2!$C$1:$C$1716&lt;=A16)*(Tabelle2!$D$1:$D$1716&gt;=A16)*ROW(Tabelle2!$1:$1716)))</f>
        <v>245406</v>
      </c>
      <c r="L16">
        <f t="shared" si="0"/>
        <v>2.4449279968704922</v>
      </c>
    </row>
    <row r="17" spans="1:12" x14ac:dyDescent="0.25">
      <c r="A17" s="1">
        <v>45312</v>
      </c>
      <c r="B17">
        <v>2000</v>
      </c>
      <c r="C17" t="s">
        <v>23</v>
      </c>
      <c r="D17">
        <v>171</v>
      </c>
      <c r="E17">
        <v>9.2236243449743291</v>
      </c>
      <c r="I17"/>
      <c r="J17"/>
      <c r="K17">
        <f>INDEX(Tabelle2!E:E,SUMPRODUCT((Tabelle2!$A$1:$A$1716=B17)*(Tabelle2!$C$1:$C$1716&lt;=A17)*(Tabelle2!$D$1:$D$1716&gt;=A17)*ROW(Tabelle2!$1:$1716)))</f>
        <v>1853935</v>
      </c>
      <c r="L17">
        <f t="shared" si="0"/>
        <v>9.223624344974338</v>
      </c>
    </row>
    <row r="18" spans="1:12" x14ac:dyDescent="0.25">
      <c r="A18" s="1">
        <v>45312</v>
      </c>
      <c r="B18">
        <v>3101</v>
      </c>
      <c r="C18" t="s">
        <v>25</v>
      </c>
      <c r="D18">
        <v>13</v>
      </c>
      <c r="E18">
        <v>5.2245974045807602</v>
      </c>
      <c r="I18"/>
      <c r="J18"/>
      <c r="K18">
        <f>INDEX(Tabelle2!E:E,SUMPRODUCT((Tabelle2!$A$1:$A$1716=B18)*(Tabelle2!$C$1:$C$1716&lt;=A18)*(Tabelle2!$D$1:$D$1716&gt;=A18)*ROW(Tabelle2!$1:$1716)))</f>
        <v>248823</v>
      </c>
      <c r="L18">
        <f t="shared" si="0"/>
        <v>5.2245974045807664</v>
      </c>
    </row>
    <row r="19" spans="1:12" x14ac:dyDescent="0.25">
      <c r="A19" s="1">
        <v>45312</v>
      </c>
      <c r="B19">
        <v>3102</v>
      </c>
      <c r="C19" t="s">
        <v>26</v>
      </c>
      <c r="D19">
        <v>5</v>
      </c>
      <c r="E19">
        <v>4.8218797616062599</v>
      </c>
      <c r="I19"/>
      <c r="J19"/>
      <c r="K19">
        <f>INDEX(Tabelle2!E:E,SUMPRODUCT((Tabelle2!$A$1:$A$1716=B19)*(Tabelle2!$C$1:$C$1716&lt;=A19)*(Tabelle2!$D$1:$D$1716&gt;=A19)*ROW(Tabelle2!$1:$1716)))</f>
        <v>103694</v>
      </c>
      <c r="L19">
        <f t="shared" si="0"/>
        <v>4.8218797616062643</v>
      </c>
    </row>
    <row r="20" spans="1:12" x14ac:dyDescent="0.25">
      <c r="A20" s="1">
        <v>45312</v>
      </c>
      <c r="B20">
        <v>3103</v>
      </c>
      <c r="C20" t="s">
        <v>27</v>
      </c>
      <c r="D20">
        <v>6</v>
      </c>
      <c r="E20">
        <v>4.8407006107350599</v>
      </c>
      <c r="I20"/>
      <c r="J20"/>
      <c r="K20">
        <f>INDEX(Tabelle2!E:E,SUMPRODUCT((Tabelle2!$A$1:$A$1716=B20)*(Tabelle2!$C$1:$C$1716&lt;=A20)*(Tabelle2!$D$1:$D$1716&gt;=A20)*ROW(Tabelle2!$1:$1716)))</f>
        <v>123949</v>
      </c>
      <c r="L20">
        <f t="shared" si="0"/>
        <v>4.8407006107350607</v>
      </c>
    </row>
    <row r="21" spans="1:12" x14ac:dyDescent="0.25">
      <c r="A21" s="1">
        <v>45312</v>
      </c>
      <c r="B21">
        <v>3151</v>
      </c>
      <c r="C21" t="s">
        <v>28</v>
      </c>
      <c r="D21">
        <v>7</v>
      </c>
      <c r="E21">
        <v>3.93437463115237</v>
      </c>
      <c r="I21"/>
      <c r="J21"/>
      <c r="K21">
        <f>INDEX(Tabelle2!E:E,SUMPRODUCT((Tabelle2!$A$1:$A$1716=B21)*(Tabelle2!$C$1:$C$1716&lt;=A21)*(Tabelle2!$D$1:$D$1716&gt;=A21)*ROW(Tabelle2!$1:$1716)))</f>
        <v>177919</v>
      </c>
      <c r="L21">
        <f t="shared" si="0"/>
        <v>3.9343746311523784</v>
      </c>
    </row>
    <row r="22" spans="1:12" x14ac:dyDescent="0.25">
      <c r="A22" s="1">
        <v>45312</v>
      </c>
      <c r="B22">
        <v>3153</v>
      </c>
      <c r="C22" t="s">
        <v>29</v>
      </c>
      <c r="D22">
        <v>10</v>
      </c>
      <c r="E22">
        <v>7.45990302126072</v>
      </c>
      <c r="I22"/>
      <c r="J22"/>
      <c r="K22">
        <f>INDEX(Tabelle2!E:E,SUMPRODUCT((Tabelle2!$A$1:$A$1716=B22)*(Tabelle2!$C$1:$C$1716&lt;=A22)*(Tabelle2!$D$1:$D$1716&gt;=A22)*ROW(Tabelle2!$1:$1716)))</f>
        <v>134050</v>
      </c>
      <c r="L22">
        <f t="shared" si="0"/>
        <v>7.4599030212607236</v>
      </c>
    </row>
    <row r="23" spans="1:12" x14ac:dyDescent="0.25">
      <c r="A23" s="1">
        <v>45312</v>
      </c>
      <c r="B23">
        <v>3154</v>
      </c>
      <c r="C23" t="s">
        <v>30</v>
      </c>
      <c r="D23">
        <v>3</v>
      </c>
      <c r="E23">
        <v>3.28303001783779</v>
      </c>
      <c r="I23"/>
      <c r="J23"/>
      <c r="K23">
        <f>INDEX(Tabelle2!E:E,SUMPRODUCT((Tabelle2!$A$1:$A$1716=B23)*(Tabelle2!$C$1:$C$1716&lt;=A23)*(Tabelle2!$D$1:$D$1716&gt;=A23)*ROW(Tabelle2!$1:$1716)))</f>
        <v>91379</v>
      </c>
      <c r="L23">
        <f t="shared" si="0"/>
        <v>3.2830300178377967</v>
      </c>
    </row>
    <row r="24" spans="1:12" x14ac:dyDescent="0.25">
      <c r="A24" s="1">
        <v>45312</v>
      </c>
      <c r="B24">
        <v>3155</v>
      </c>
      <c r="C24" t="s">
        <v>31</v>
      </c>
      <c r="D24">
        <v>8</v>
      </c>
      <c r="E24">
        <v>6.0714150191628997</v>
      </c>
      <c r="I24"/>
      <c r="J24"/>
      <c r="K24">
        <f>INDEX(Tabelle2!E:E,SUMPRODUCT((Tabelle2!$A$1:$A$1716=B24)*(Tabelle2!$C$1:$C$1716&lt;=A24)*(Tabelle2!$D$1:$D$1716&gt;=A24)*ROW(Tabelle2!$1:$1716)))</f>
        <v>131765</v>
      </c>
      <c r="L24">
        <f t="shared" si="0"/>
        <v>6.0714150191629042</v>
      </c>
    </row>
    <row r="25" spans="1:12" x14ac:dyDescent="0.25">
      <c r="A25" s="1">
        <v>45312</v>
      </c>
      <c r="B25">
        <v>3157</v>
      </c>
      <c r="C25" t="s">
        <v>32</v>
      </c>
      <c r="D25">
        <v>5</v>
      </c>
      <c r="E25">
        <v>3.6507009345794299</v>
      </c>
      <c r="I25"/>
      <c r="J25"/>
      <c r="K25">
        <f>INDEX(Tabelle2!E:E,SUMPRODUCT((Tabelle2!$A$1:$A$1716=B25)*(Tabelle2!$C$1:$C$1716&lt;=A25)*(Tabelle2!$D$1:$D$1716&gt;=A25)*ROW(Tabelle2!$1:$1716)))</f>
        <v>136960</v>
      </c>
      <c r="L25">
        <f t="shared" si="0"/>
        <v>3.6507009345794388</v>
      </c>
    </row>
    <row r="26" spans="1:12" x14ac:dyDescent="0.25">
      <c r="A26" s="1">
        <v>45312</v>
      </c>
      <c r="B26">
        <v>3158</v>
      </c>
      <c r="C26" t="s">
        <v>444</v>
      </c>
      <c r="D26">
        <v>4</v>
      </c>
      <c r="E26">
        <v>3.3550291887539401</v>
      </c>
      <c r="I26"/>
      <c r="J26"/>
      <c r="K26">
        <f>INDEX(Tabelle2!E:E,SUMPRODUCT((Tabelle2!$A$1:$A$1716=B26)*(Tabelle2!$C$1:$C$1716&lt;=A26)*(Tabelle2!$D$1:$D$1716&gt;=A26)*ROW(Tabelle2!$1:$1716)))</f>
        <v>119224</v>
      </c>
      <c r="L26">
        <f t="shared" si="0"/>
        <v>3.3550291887539423</v>
      </c>
    </row>
    <row r="27" spans="1:12" x14ac:dyDescent="0.25">
      <c r="A27" s="1">
        <v>45312</v>
      </c>
      <c r="B27">
        <v>3159</v>
      </c>
      <c r="C27" t="s">
        <v>445</v>
      </c>
      <c r="D27">
        <v>19</v>
      </c>
      <c r="E27">
        <v>5.8703396454932699</v>
      </c>
      <c r="I27"/>
      <c r="J27"/>
      <c r="K27">
        <f>INDEX(Tabelle2!E:E,SUMPRODUCT((Tabelle2!$A$1:$A$1716=B27)*(Tabelle2!$C$1:$C$1716&lt;=A27)*(Tabelle2!$D$1:$D$1716&gt;=A27)*ROW(Tabelle2!$1:$1716)))</f>
        <v>323661</v>
      </c>
      <c r="L27">
        <f t="shared" si="0"/>
        <v>5.8703396454932779</v>
      </c>
    </row>
    <row r="28" spans="1:12" x14ac:dyDescent="0.25">
      <c r="A28" s="1">
        <v>45312</v>
      </c>
      <c r="B28">
        <v>3241</v>
      </c>
      <c r="C28" t="s">
        <v>35</v>
      </c>
      <c r="D28">
        <v>92</v>
      </c>
      <c r="E28">
        <v>7.9478826235960502</v>
      </c>
      <c r="I28"/>
      <c r="J28"/>
      <c r="K28">
        <f>INDEX(Tabelle2!E:E,SUMPRODUCT((Tabelle2!$A$1:$A$1716=B28)*(Tabelle2!$C$1:$C$1716&lt;=A28)*(Tabelle2!$D$1:$D$1716&gt;=A28)*ROW(Tabelle2!$1:$1716)))</f>
        <v>1157541</v>
      </c>
      <c r="L28">
        <f t="shared" si="0"/>
        <v>7.9478826235960538</v>
      </c>
    </row>
    <row r="29" spans="1:12" x14ac:dyDescent="0.25">
      <c r="A29" s="1">
        <v>45312</v>
      </c>
      <c r="B29">
        <v>3251</v>
      </c>
      <c r="C29" t="s">
        <v>36</v>
      </c>
      <c r="D29">
        <v>13</v>
      </c>
      <c r="E29">
        <v>5.9404402323168997</v>
      </c>
      <c r="I29"/>
      <c r="J29"/>
      <c r="K29">
        <f>INDEX(Tabelle2!E:E,SUMPRODUCT((Tabelle2!$A$1:$A$1716=B29)*(Tabelle2!$C$1:$C$1716&lt;=A29)*(Tabelle2!$D$1:$D$1716&gt;=A29)*ROW(Tabelle2!$1:$1716)))</f>
        <v>218839</v>
      </c>
      <c r="L29">
        <f t="shared" si="0"/>
        <v>5.9404402323169085</v>
      </c>
    </row>
    <row r="30" spans="1:12" x14ac:dyDescent="0.25">
      <c r="A30" s="1">
        <v>45312</v>
      </c>
      <c r="B30">
        <v>3252</v>
      </c>
      <c r="C30" t="s">
        <v>37</v>
      </c>
      <c r="D30">
        <v>9</v>
      </c>
      <c r="E30">
        <v>6.0417687613702702</v>
      </c>
      <c r="I30"/>
      <c r="J30"/>
      <c r="K30">
        <f>INDEX(Tabelle2!E:E,SUMPRODUCT((Tabelle2!$A$1:$A$1716=B30)*(Tabelle2!$C$1:$C$1716&lt;=A30)*(Tabelle2!$D$1:$D$1716&gt;=A30)*ROW(Tabelle2!$1:$1716)))</f>
        <v>148963</v>
      </c>
      <c r="L30">
        <f t="shared" si="0"/>
        <v>6.0417687613702737</v>
      </c>
    </row>
    <row r="31" spans="1:12" x14ac:dyDescent="0.25">
      <c r="A31" s="1">
        <v>45312</v>
      </c>
      <c r="B31">
        <v>3254</v>
      </c>
      <c r="C31" t="s">
        <v>38</v>
      </c>
      <c r="D31">
        <v>11</v>
      </c>
      <c r="E31">
        <v>4.00330454593428</v>
      </c>
      <c r="I31"/>
      <c r="J31"/>
      <c r="K31">
        <f>INDEX(Tabelle2!E:E,SUMPRODUCT((Tabelle2!$A$1:$A$1716=B31)*(Tabelle2!$C$1:$C$1716&lt;=A31)*(Tabelle2!$D$1:$D$1716&gt;=A31)*ROW(Tabelle2!$1:$1716)))</f>
        <v>274773</v>
      </c>
      <c r="L31">
        <f t="shared" si="0"/>
        <v>4.00330454593428</v>
      </c>
    </row>
    <row r="32" spans="1:12" x14ac:dyDescent="0.25">
      <c r="A32" s="1">
        <v>45312</v>
      </c>
      <c r="B32">
        <v>3255</v>
      </c>
      <c r="C32" t="s">
        <v>39</v>
      </c>
      <c r="D32">
        <v>2</v>
      </c>
      <c r="E32">
        <v>2.8627866365119798</v>
      </c>
      <c r="I32"/>
      <c r="J32"/>
      <c r="K32">
        <f>INDEX(Tabelle2!E:E,SUMPRODUCT((Tabelle2!$A$1:$A$1716=B32)*(Tabelle2!$C$1:$C$1716&lt;=A32)*(Tabelle2!$D$1:$D$1716&gt;=A32)*ROW(Tabelle2!$1:$1716)))</f>
        <v>69862</v>
      </c>
      <c r="L32">
        <f t="shared" si="0"/>
        <v>2.8627866365119807</v>
      </c>
    </row>
    <row r="33" spans="1:12" x14ac:dyDescent="0.25">
      <c r="A33" s="1">
        <v>45312</v>
      </c>
      <c r="B33">
        <v>3256</v>
      </c>
      <c r="C33" t="s">
        <v>40</v>
      </c>
      <c r="D33">
        <v>5</v>
      </c>
      <c r="E33">
        <v>4.1060005091440601</v>
      </c>
      <c r="I33"/>
      <c r="J33"/>
      <c r="K33">
        <f>INDEX(Tabelle2!E:E,SUMPRODUCT((Tabelle2!$A$1:$A$1716=B33)*(Tabelle2!$C$1:$C$1716&lt;=A33)*(Tabelle2!$D$1:$D$1716&gt;=A33)*ROW(Tabelle2!$1:$1716)))</f>
        <v>121773</v>
      </c>
      <c r="L33">
        <f t="shared" si="0"/>
        <v>4.1060005091440637</v>
      </c>
    </row>
    <row r="34" spans="1:12" x14ac:dyDescent="0.25">
      <c r="A34" s="1">
        <v>45312</v>
      </c>
      <c r="B34">
        <v>3257</v>
      </c>
      <c r="C34" t="s">
        <v>41</v>
      </c>
      <c r="D34">
        <v>3</v>
      </c>
      <c r="E34">
        <v>1.89743719482885</v>
      </c>
      <c r="I34"/>
      <c r="J34"/>
      <c r="K34">
        <f>INDEX(Tabelle2!E:E,SUMPRODUCT((Tabelle2!$A$1:$A$1716=B34)*(Tabelle2!$C$1:$C$1716&lt;=A34)*(Tabelle2!$D$1:$D$1716&gt;=A34)*ROW(Tabelle2!$1:$1716)))</f>
        <v>158108</v>
      </c>
      <c r="L34">
        <f t="shared" si="0"/>
        <v>1.8974371948288513</v>
      </c>
    </row>
    <row r="35" spans="1:12" x14ac:dyDescent="0.25">
      <c r="A35" s="1">
        <v>45312</v>
      </c>
      <c r="B35">
        <v>3351</v>
      </c>
      <c r="C35" t="s">
        <v>42</v>
      </c>
      <c r="D35">
        <v>9</v>
      </c>
      <c r="E35">
        <v>5.0023622266069996</v>
      </c>
      <c r="I35"/>
      <c r="J35"/>
      <c r="K35">
        <f>INDEX(Tabelle2!E:E,SUMPRODUCT((Tabelle2!$A$1:$A$1716=B35)*(Tabelle2!$C$1:$C$1716&lt;=A35)*(Tabelle2!$D$1:$D$1716&gt;=A35)*ROW(Tabelle2!$1:$1716)))</f>
        <v>179915</v>
      </c>
      <c r="L35">
        <f t="shared" si="0"/>
        <v>5.0023622266070094</v>
      </c>
    </row>
    <row r="36" spans="1:12" x14ac:dyDescent="0.25">
      <c r="A36" s="1">
        <v>45312</v>
      </c>
      <c r="B36">
        <v>3352</v>
      </c>
      <c r="C36" t="s">
        <v>43</v>
      </c>
      <c r="D36">
        <v>5</v>
      </c>
      <c r="E36">
        <v>2.5049723701547499</v>
      </c>
      <c r="I36"/>
      <c r="J36"/>
      <c r="K36">
        <f>INDEX(Tabelle2!E:E,SUMPRODUCT((Tabelle2!$A$1:$A$1716=B36)*(Tabelle2!$C$1:$C$1716&lt;=A36)*(Tabelle2!$D$1:$D$1716&gt;=A36)*ROW(Tabelle2!$1:$1716)))</f>
        <v>199603</v>
      </c>
      <c r="L36">
        <f t="shared" si="0"/>
        <v>2.504972370154757</v>
      </c>
    </row>
    <row r="37" spans="1:12" x14ac:dyDescent="0.25">
      <c r="A37" s="1">
        <v>45312</v>
      </c>
      <c r="B37">
        <v>3353</v>
      </c>
      <c r="C37" t="s">
        <v>44</v>
      </c>
      <c r="D37">
        <v>10</v>
      </c>
      <c r="E37">
        <v>3.8827713668908301</v>
      </c>
      <c r="I37"/>
      <c r="J37"/>
      <c r="K37">
        <f>INDEX(Tabelle2!E:E,SUMPRODUCT((Tabelle2!$A$1:$A$1716=B37)*(Tabelle2!$C$1:$C$1716&lt;=A37)*(Tabelle2!$D$1:$D$1716&gt;=A37)*ROW(Tabelle2!$1:$1716)))</f>
        <v>257548</v>
      </c>
      <c r="L37">
        <f t="shared" si="0"/>
        <v>3.8827713668908319</v>
      </c>
    </row>
    <row r="38" spans="1:12" x14ac:dyDescent="0.25">
      <c r="A38" s="1">
        <v>45312</v>
      </c>
      <c r="B38">
        <v>3354</v>
      </c>
      <c r="C38" t="s">
        <v>446</v>
      </c>
      <c r="D38">
        <v>4</v>
      </c>
      <c r="E38">
        <v>8.2521868295098209</v>
      </c>
      <c r="I38"/>
      <c r="J38"/>
      <c r="K38">
        <f>INDEX(Tabelle2!E:E,SUMPRODUCT((Tabelle2!$A$1:$A$1716=B38)*(Tabelle2!$C$1:$C$1716&lt;=A38)*(Tabelle2!$D$1:$D$1716&gt;=A38)*ROW(Tabelle2!$1:$1716)))</f>
        <v>48472</v>
      </c>
      <c r="L38">
        <f t="shared" si="0"/>
        <v>8.2521868295098209</v>
      </c>
    </row>
    <row r="39" spans="1:12" x14ac:dyDescent="0.25">
      <c r="A39" s="1">
        <v>45312</v>
      </c>
      <c r="B39">
        <v>3355</v>
      </c>
      <c r="C39" t="s">
        <v>447</v>
      </c>
      <c r="D39">
        <v>9</v>
      </c>
      <c r="E39">
        <v>4.8614749715063503</v>
      </c>
      <c r="I39"/>
      <c r="J39"/>
      <c r="K39">
        <f>INDEX(Tabelle2!E:E,SUMPRODUCT((Tabelle2!$A$1:$A$1716=B39)*(Tabelle2!$C$1:$C$1716&lt;=A39)*(Tabelle2!$D$1:$D$1716&gt;=A39)*ROW(Tabelle2!$1:$1716)))</f>
        <v>185129</v>
      </c>
      <c r="L39">
        <f t="shared" si="0"/>
        <v>4.8614749715063548</v>
      </c>
    </row>
    <row r="40" spans="1:12" x14ac:dyDescent="0.25">
      <c r="A40" s="1">
        <v>45312</v>
      </c>
      <c r="B40">
        <v>3356</v>
      </c>
      <c r="C40" t="s">
        <v>47</v>
      </c>
      <c r="D40">
        <v>0</v>
      </c>
      <c r="E40">
        <v>0</v>
      </c>
      <c r="I40"/>
      <c r="J40"/>
      <c r="K40">
        <f>INDEX(Tabelle2!E:E,SUMPRODUCT((Tabelle2!$A$1:$A$1716=B40)*(Tabelle2!$C$1:$C$1716&lt;=A40)*(Tabelle2!$D$1:$D$1716&gt;=A40)*ROW(Tabelle2!$1:$1716)))</f>
        <v>115054</v>
      </c>
      <c r="L40">
        <f t="shared" si="0"/>
        <v>0</v>
      </c>
    </row>
    <row r="41" spans="1:12" x14ac:dyDescent="0.25">
      <c r="A41" s="1">
        <v>45312</v>
      </c>
      <c r="B41">
        <v>3357</v>
      </c>
      <c r="C41" t="s">
        <v>448</v>
      </c>
      <c r="D41">
        <v>4</v>
      </c>
      <c r="E41">
        <v>2.4242277319531298</v>
      </c>
      <c r="I41"/>
      <c r="J41"/>
      <c r="K41">
        <f>INDEX(Tabelle2!E:E,SUMPRODUCT((Tabelle2!$A$1:$A$1716=B41)*(Tabelle2!$C$1:$C$1716&lt;=A41)*(Tabelle2!$D$1:$D$1716&gt;=A41)*ROW(Tabelle2!$1:$1716)))</f>
        <v>165001</v>
      </c>
      <c r="L41">
        <f t="shared" si="0"/>
        <v>2.4242277319531396</v>
      </c>
    </row>
    <row r="42" spans="1:12" x14ac:dyDescent="0.25">
      <c r="A42" s="1">
        <v>45312</v>
      </c>
      <c r="B42">
        <v>3358</v>
      </c>
      <c r="C42" t="s">
        <v>49</v>
      </c>
      <c r="D42">
        <v>6</v>
      </c>
      <c r="E42">
        <v>4.1983878190774702</v>
      </c>
      <c r="I42"/>
      <c r="J42"/>
      <c r="K42">
        <f>INDEX(Tabelle2!E:E,SUMPRODUCT((Tabelle2!$A$1:$A$1716=B42)*(Tabelle2!$C$1:$C$1716&lt;=A42)*(Tabelle2!$D$1:$D$1716&gt;=A42)*ROW(Tabelle2!$1:$1716)))</f>
        <v>142912</v>
      </c>
      <c r="L42">
        <f t="shared" si="0"/>
        <v>4.1983878190774737</v>
      </c>
    </row>
    <row r="43" spans="1:12" x14ac:dyDescent="0.25">
      <c r="A43" s="1">
        <v>45312</v>
      </c>
      <c r="B43">
        <v>3359</v>
      </c>
      <c r="C43" t="s">
        <v>50</v>
      </c>
      <c r="D43">
        <v>3</v>
      </c>
      <c r="E43">
        <v>1.45281264528126</v>
      </c>
      <c r="I43"/>
      <c r="J43"/>
      <c r="K43">
        <f>INDEX(Tabelle2!E:E,SUMPRODUCT((Tabelle2!$A$1:$A$1716=B43)*(Tabelle2!$C$1:$C$1716&lt;=A43)*(Tabelle2!$D$1:$D$1716&gt;=A43)*ROW(Tabelle2!$1:$1716)))</f>
        <v>206496</v>
      </c>
      <c r="L43">
        <f t="shared" si="0"/>
        <v>1.4528126452812644</v>
      </c>
    </row>
    <row r="44" spans="1:12" x14ac:dyDescent="0.25">
      <c r="A44" s="1">
        <v>45312</v>
      </c>
      <c r="B44">
        <v>3360</v>
      </c>
      <c r="C44" t="s">
        <v>51</v>
      </c>
      <c r="D44">
        <v>9</v>
      </c>
      <c r="E44">
        <v>9.6884621181131099</v>
      </c>
      <c r="I44"/>
      <c r="J44"/>
      <c r="K44">
        <f>INDEX(Tabelle2!E:E,SUMPRODUCT((Tabelle2!$A$1:$A$1716=B44)*(Tabelle2!$C$1:$C$1716&lt;=A44)*(Tabelle2!$D$1:$D$1716&gt;=A44)*ROW(Tabelle2!$1:$1716)))</f>
        <v>92894</v>
      </c>
      <c r="L44">
        <f t="shared" si="0"/>
        <v>9.6884621181131187</v>
      </c>
    </row>
    <row r="45" spans="1:12" x14ac:dyDescent="0.25">
      <c r="A45" s="1">
        <v>45312</v>
      </c>
      <c r="B45">
        <v>3361</v>
      </c>
      <c r="C45" t="s">
        <v>52</v>
      </c>
      <c r="D45">
        <v>7</v>
      </c>
      <c r="E45">
        <v>5.0538961929721902</v>
      </c>
      <c r="I45"/>
      <c r="J45"/>
      <c r="K45">
        <f>INDEX(Tabelle2!E:E,SUMPRODUCT((Tabelle2!$A$1:$A$1716=B45)*(Tabelle2!$C$1:$C$1716&lt;=A45)*(Tabelle2!$D$1:$D$1716&gt;=A45)*ROW(Tabelle2!$1:$1716)))</f>
        <v>138507</v>
      </c>
      <c r="L45">
        <f t="shared" si="0"/>
        <v>5.0538961929721964</v>
      </c>
    </row>
    <row r="46" spans="1:12" x14ac:dyDescent="0.25">
      <c r="A46" s="1">
        <v>45312</v>
      </c>
      <c r="B46">
        <v>3401</v>
      </c>
      <c r="C46" t="s">
        <v>53</v>
      </c>
      <c r="D46">
        <v>8</v>
      </c>
      <c r="E46">
        <v>10.319651195789501</v>
      </c>
      <c r="I46"/>
      <c r="J46"/>
      <c r="K46">
        <f>INDEX(Tabelle2!E:E,SUMPRODUCT((Tabelle2!$A$1:$A$1716=B46)*(Tabelle2!$C$1:$C$1716&lt;=A46)*(Tabelle2!$D$1:$D$1716&gt;=A46)*ROW(Tabelle2!$1:$1716)))</f>
        <v>77522</v>
      </c>
      <c r="L46">
        <f t="shared" si="0"/>
        <v>10.319651195789582</v>
      </c>
    </row>
    <row r="47" spans="1:12" x14ac:dyDescent="0.25">
      <c r="A47" s="1">
        <v>45312</v>
      </c>
      <c r="B47">
        <v>3402</v>
      </c>
      <c r="C47" t="s">
        <v>54</v>
      </c>
      <c r="D47">
        <v>3</v>
      </c>
      <c r="E47">
        <v>6.0577913292813399</v>
      </c>
      <c r="I47"/>
      <c r="J47"/>
      <c r="K47">
        <f>INDEX(Tabelle2!E:E,SUMPRODUCT((Tabelle2!$A$1:$A$1716=B47)*(Tabelle2!$C$1:$C$1716&lt;=A47)*(Tabelle2!$D$1:$D$1716&gt;=A47)*ROW(Tabelle2!$1:$1716)))</f>
        <v>49523</v>
      </c>
      <c r="L47">
        <f t="shared" si="0"/>
        <v>6.0577913292813443</v>
      </c>
    </row>
    <row r="48" spans="1:12" x14ac:dyDescent="0.25">
      <c r="A48" s="1">
        <v>45312</v>
      </c>
      <c r="B48">
        <v>3403</v>
      </c>
      <c r="C48" t="s">
        <v>55</v>
      </c>
      <c r="D48">
        <v>10</v>
      </c>
      <c r="E48">
        <v>5.8689234633691099</v>
      </c>
      <c r="I48"/>
      <c r="J48"/>
      <c r="K48">
        <f>INDEX(Tabelle2!E:E,SUMPRODUCT((Tabelle2!$A$1:$A$1716=B48)*(Tabelle2!$C$1:$C$1716&lt;=A48)*(Tabelle2!$D$1:$D$1716&gt;=A48)*ROW(Tabelle2!$1:$1716)))</f>
        <v>170389</v>
      </c>
      <c r="L48">
        <f t="shared" si="0"/>
        <v>5.8689234633691143</v>
      </c>
    </row>
    <row r="49" spans="1:12" x14ac:dyDescent="0.25">
      <c r="A49" s="1">
        <v>45312</v>
      </c>
      <c r="B49">
        <v>3404</v>
      </c>
      <c r="C49" t="s">
        <v>449</v>
      </c>
      <c r="D49">
        <v>10</v>
      </c>
      <c r="E49">
        <v>6.0593574657343297</v>
      </c>
      <c r="I49"/>
      <c r="J49"/>
      <c r="K49">
        <f>INDEX(Tabelle2!E:E,SUMPRODUCT((Tabelle2!$A$1:$A$1716=B49)*(Tabelle2!$C$1:$C$1716&lt;=A49)*(Tabelle2!$D$1:$D$1716&gt;=A49)*ROW(Tabelle2!$1:$1716)))</f>
        <v>165034</v>
      </c>
      <c r="L49">
        <f t="shared" si="0"/>
        <v>6.0593574657343341</v>
      </c>
    </row>
    <row r="50" spans="1:12" x14ac:dyDescent="0.25">
      <c r="A50" s="1">
        <v>45312</v>
      </c>
      <c r="B50">
        <v>3405</v>
      </c>
      <c r="C50" t="s">
        <v>57</v>
      </c>
      <c r="D50">
        <v>1</v>
      </c>
      <c r="E50">
        <v>1.3328535060711399</v>
      </c>
      <c r="I50"/>
      <c r="J50"/>
      <c r="K50">
        <f>INDEX(Tabelle2!E:E,SUMPRODUCT((Tabelle2!$A$1:$A$1716=B50)*(Tabelle2!$C$1:$C$1716&lt;=A50)*(Tabelle2!$D$1:$D$1716&gt;=A50)*ROW(Tabelle2!$1:$1716)))</f>
        <v>75027</v>
      </c>
      <c r="L50">
        <f t="shared" si="0"/>
        <v>1.3328535060711477</v>
      </c>
    </row>
    <row r="51" spans="1:12" x14ac:dyDescent="0.25">
      <c r="A51" s="1">
        <v>45312</v>
      </c>
      <c r="B51">
        <v>3451</v>
      </c>
      <c r="C51" t="s">
        <v>58</v>
      </c>
      <c r="D51">
        <v>7</v>
      </c>
      <c r="E51">
        <v>5.5346906503261497</v>
      </c>
      <c r="I51"/>
      <c r="J51"/>
      <c r="K51">
        <f>INDEX(Tabelle2!E:E,SUMPRODUCT((Tabelle2!$A$1:$A$1716=B51)*(Tabelle2!$C$1:$C$1716&lt;=A51)*(Tabelle2!$D$1:$D$1716&gt;=A51)*ROW(Tabelle2!$1:$1716)))</f>
        <v>126475</v>
      </c>
      <c r="L51">
        <f t="shared" si="0"/>
        <v>5.5346906503261515</v>
      </c>
    </row>
    <row r="52" spans="1:12" x14ac:dyDescent="0.25">
      <c r="A52" s="1">
        <v>45312</v>
      </c>
      <c r="B52">
        <v>3452</v>
      </c>
      <c r="C52" t="s">
        <v>59</v>
      </c>
      <c r="D52">
        <v>4</v>
      </c>
      <c r="E52">
        <v>2.1005645267165498</v>
      </c>
      <c r="I52"/>
      <c r="J52"/>
      <c r="K52">
        <f>INDEX(Tabelle2!E:E,SUMPRODUCT((Tabelle2!$A$1:$A$1716=B52)*(Tabelle2!$C$1:$C$1716&lt;=A52)*(Tabelle2!$D$1:$D$1716&gt;=A52)*ROW(Tabelle2!$1:$1716)))</f>
        <v>190425</v>
      </c>
      <c r="L52">
        <f t="shared" si="0"/>
        <v>2.1005645267165551</v>
      </c>
    </row>
    <row r="53" spans="1:12" x14ac:dyDescent="0.25">
      <c r="A53" s="1">
        <v>45312</v>
      </c>
      <c r="B53">
        <v>3453</v>
      </c>
      <c r="C53" t="s">
        <v>60</v>
      </c>
      <c r="D53">
        <v>14</v>
      </c>
      <c r="E53">
        <v>8.0469019427520401</v>
      </c>
      <c r="I53"/>
      <c r="J53"/>
      <c r="K53">
        <f>INDEX(Tabelle2!E:E,SUMPRODUCT((Tabelle2!$A$1:$A$1716=B53)*(Tabelle2!$C$1:$C$1716&lt;=A53)*(Tabelle2!$D$1:$D$1716&gt;=A53)*ROW(Tabelle2!$1:$1716)))</f>
        <v>173980</v>
      </c>
      <c r="L53">
        <f t="shared" si="0"/>
        <v>8.0469019427520401</v>
      </c>
    </row>
    <row r="54" spans="1:12" x14ac:dyDescent="0.25">
      <c r="A54" s="1">
        <v>45312</v>
      </c>
      <c r="B54">
        <v>3454</v>
      </c>
      <c r="C54" t="s">
        <v>61</v>
      </c>
      <c r="D54">
        <v>14</v>
      </c>
      <c r="E54">
        <v>4.2245403549217402</v>
      </c>
      <c r="I54"/>
      <c r="J54"/>
      <c r="K54">
        <f>INDEX(Tabelle2!E:E,SUMPRODUCT((Tabelle2!$A$1:$A$1716=B54)*(Tabelle2!$C$1:$C$1716&lt;=A54)*(Tabelle2!$D$1:$D$1716&gt;=A54)*ROW(Tabelle2!$1:$1716)))</f>
        <v>331397</v>
      </c>
      <c r="L54">
        <f t="shared" si="0"/>
        <v>4.2245403549217402</v>
      </c>
    </row>
    <row r="55" spans="1:12" x14ac:dyDescent="0.25">
      <c r="A55" s="1">
        <v>45312</v>
      </c>
      <c r="B55">
        <v>3455</v>
      </c>
      <c r="C55" t="s">
        <v>62</v>
      </c>
      <c r="D55">
        <v>2</v>
      </c>
      <c r="E55">
        <v>2.0207939699507902</v>
      </c>
      <c r="I55"/>
      <c r="J55"/>
      <c r="K55">
        <f>INDEX(Tabelle2!E:E,SUMPRODUCT((Tabelle2!$A$1:$A$1716=B55)*(Tabelle2!$C$1:$C$1716&lt;=A55)*(Tabelle2!$D$1:$D$1716&gt;=A55)*ROW(Tabelle2!$1:$1716)))</f>
        <v>98971</v>
      </c>
      <c r="L55">
        <f t="shared" si="0"/>
        <v>2.0207939699507937</v>
      </c>
    </row>
    <row r="56" spans="1:12" x14ac:dyDescent="0.25">
      <c r="A56" s="1">
        <v>45312</v>
      </c>
      <c r="B56">
        <v>3456</v>
      </c>
      <c r="C56" t="s">
        <v>63</v>
      </c>
      <c r="D56">
        <v>4</v>
      </c>
      <c r="E56">
        <v>2.8834647712691499</v>
      </c>
      <c r="I56"/>
      <c r="J56"/>
      <c r="K56">
        <f>INDEX(Tabelle2!E:E,SUMPRODUCT((Tabelle2!$A$1:$A$1716=B56)*(Tabelle2!$C$1:$C$1716&lt;=A56)*(Tabelle2!$D$1:$D$1716&gt;=A56)*ROW(Tabelle2!$1:$1716)))</f>
        <v>138722</v>
      </c>
      <c r="L56">
        <f t="shared" si="0"/>
        <v>2.883464771269157</v>
      </c>
    </row>
    <row r="57" spans="1:12" x14ac:dyDescent="0.25">
      <c r="A57" s="1">
        <v>45312</v>
      </c>
      <c r="B57">
        <v>3457</v>
      </c>
      <c r="C57" t="s">
        <v>64</v>
      </c>
      <c r="D57">
        <v>5</v>
      </c>
      <c r="E57">
        <v>2.8998787850667802</v>
      </c>
      <c r="I57"/>
      <c r="J57"/>
      <c r="K57">
        <f>INDEX(Tabelle2!E:E,SUMPRODUCT((Tabelle2!$A$1:$A$1716=B57)*(Tabelle2!$C$1:$C$1716&lt;=A57)*(Tabelle2!$D$1:$D$1716&gt;=A57)*ROW(Tabelle2!$1:$1716)))</f>
        <v>172421</v>
      </c>
      <c r="L57">
        <f t="shared" si="0"/>
        <v>2.8998787850667842</v>
      </c>
    </row>
    <row r="58" spans="1:12" x14ac:dyDescent="0.25">
      <c r="A58" s="1">
        <v>45312</v>
      </c>
      <c r="B58">
        <v>3458</v>
      </c>
      <c r="C58" t="s">
        <v>65</v>
      </c>
      <c r="D58">
        <v>6</v>
      </c>
      <c r="E58">
        <v>4.5423230954417697</v>
      </c>
      <c r="I58"/>
      <c r="J58"/>
      <c r="K58">
        <f>INDEX(Tabelle2!E:E,SUMPRODUCT((Tabelle2!$A$1:$A$1716=B58)*(Tabelle2!$C$1:$C$1716&lt;=A58)*(Tabelle2!$D$1:$D$1716&gt;=A58)*ROW(Tabelle2!$1:$1716)))</f>
        <v>132091</v>
      </c>
      <c r="L58">
        <f t="shared" si="0"/>
        <v>4.5423230954417786</v>
      </c>
    </row>
    <row r="59" spans="1:12" x14ac:dyDescent="0.25">
      <c r="A59" s="1">
        <v>45312</v>
      </c>
      <c r="B59">
        <v>3459</v>
      </c>
      <c r="C59" t="s">
        <v>450</v>
      </c>
      <c r="D59">
        <v>20</v>
      </c>
      <c r="E59">
        <v>5.5317383487761003</v>
      </c>
      <c r="I59"/>
      <c r="J59"/>
      <c r="K59">
        <f>INDEX(Tabelle2!E:E,SUMPRODUCT((Tabelle2!$A$1:$A$1716=B59)*(Tabelle2!$C$1:$C$1716&lt;=A59)*(Tabelle2!$D$1:$D$1716&gt;=A59)*ROW(Tabelle2!$1:$1716)))</f>
        <v>361550</v>
      </c>
      <c r="L59">
        <f t="shared" si="0"/>
        <v>5.5317383487761029</v>
      </c>
    </row>
    <row r="60" spans="1:12" x14ac:dyDescent="0.25">
      <c r="A60" s="1">
        <v>45312</v>
      </c>
      <c r="B60">
        <v>3460</v>
      </c>
      <c r="C60" t="s">
        <v>67</v>
      </c>
      <c r="D60">
        <v>4</v>
      </c>
      <c r="E60">
        <v>2.7623355547115001</v>
      </c>
      <c r="I60"/>
      <c r="J60"/>
      <c r="K60">
        <f>INDEX(Tabelle2!E:E,SUMPRODUCT((Tabelle2!$A$1:$A$1716=B60)*(Tabelle2!$C$1:$C$1716&lt;=A60)*(Tabelle2!$D$1:$D$1716&gt;=A60)*ROW(Tabelle2!$1:$1716)))</f>
        <v>144805</v>
      </c>
      <c r="L60">
        <f t="shared" si="0"/>
        <v>2.7623355547115085</v>
      </c>
    </row>
    <row r="61" spans="1:12" x14ac:dyDescent="0.25">
      <c r="A61" s="1">
        <v>45312</v>
      </c>
      <c r="B61">
        <v>3461</v>
      </c>
      <c r="C61" t="s">
        <v>68</v>
      </c>
      <c r="D61">
        <v>1</v>
      </c>
      <c r="E61">
        <v>1.13083795092163</v>
      </c>
      <c r="I61"/>
      <c r="J61"/>
      <c r="K61">
        <f>INDEX(Tabelle2!E:E,SUMPRODUCT((Tabelle2!$A$1:$A$1716=B61)*(Tabelle2!$C$1:$C$1716&lt;=A61)*(Tabelle2!$D$1:$D$1716&gt;=A61)*ROW(Tabelle2!$1:$1716)))</f>
        <v>88430</v>
      </c>
      <c r="L61">
        <f t="shared" si="0"/>
        <v>1.1308379509216329</v>
      </c>
    </row>
    <row r="62" spans="1:12" x14ac:dyDescent="0.25">
      <c r="A62" s="1">
        <v>45312</v>
      </c>
      <c r="B62">
        <v>3462</v>
      </c>
      <c r="C62" t="s">
        <v>69</v>
      </c>
      <c r="D62">
        <v>3</v>
      </c>
      <c r="E62">
        <v>5.2214776781829197</v>
      </c>
      <c r="I62"/>
      <c r="J62"/>
      <c r="K62">
        <f>INDEX(Tabelle2!E:E,SUMPRODUCT((Tabelle2!$A$1:$A$1716=B62)*(Tabelle2!$C$1:$C$1716&lt;=A62)*(Tabelle2!$D$1:$D$1716&gt;=A62)*ROW(Tabelle2!$1:$1716)))</f>
        <v>57455</v>
      </c>
      <c r="L62">
        <f t="shared" si="0"/>
        <v>5.221477678182926</v>
      </c>
    </row>
    <row r="63" spans="1:12" x14ac:dyDescent="0.25">
      <c r="A63" s="1">
        <v>45312</v>
      </c>
      <c r="B63">
        <v>4011</v>
      </c>
      <c r="C63" t="s">
        <v>71</v>
      </c>
      <c r="D63">
        <v>56</v>
      </c>
      <c r="E63">
        <v>9.9415931403007303</v>
      </c>
      <c r="I63"/>
      <c r="J63"/>
      <c r="K63">
        <f>INDEX(Tabelle2!E:E,SUMPRODUCT((Tabelle2!$A$1:$A$1716=B63)*(Tabelle2!$C$1:$C$1716&lt;=A63)*(Tabelle2!$D$1:$D$1716&gt;=A63)*ROW(Tabelle2!$1:$1716)))</f>
        <v>563290</v>
      </c>
      <c r="L63">
        <f t="shared" si="0"/>
        <v>9.941593140300732</v>
      </c>
    </row>
    <row r="64" spans="1:12" x14ac:dyDescent="0.25">
      <c r="A64" s="1">
        <v>45312</v>
      </c>
      <c r="B64">
        <v>4012</v>
      </c>
      <c r="C64" t="s">
        <v>72</v>
      </c>
      <c r="D64">
        <v>2</v>
      </c>
      <c r="E64">
        <v>1.7672059590184901</v>
      </c>
      <c r="I64"/>
      <c r="J64"/>
      <c r="K64">
        <f>INDEX(Tabelle2!E:E,SUMPRODUCT((Tabelle2!$A$1:$A$1716=B64)*(Tabelle2!$C$1:$C$1716&lt;=A64)*(Tabelle2!$D$1:$D$1716&gt;=A64)*ROW(Tabelle2!$1:$1716)))</f>
        <v>113173</v>
      </c>
      <c r="L64">
        <f t="shared" si="0"/>
        <v>1.7672059590184939</v>
      </c>
    </row>
    <row r="65" spans="1:12" x14ac:dyDescent="0.25">
      <c r="A65" s="1">
        <v>45312</v>
      </c>
      <c r="B65">
        <v>5111</v>
      </c>
      <c r="C65" t="s">
        <v>451</v>
      </c>
      <c r="D65">
        <v>41</v>
      </c>
      <c r="E65">
        <v>6.6184862391985497</v>
      </c>
      <c r="I65"/>
      <c r="J65"/>
      <c r="K65">
        <f>INDEX(Tabelle2!E:E,SUMPRODUCT((Tabelle2!$A$1:$A$1716=B65)*(Tabelle2!$C$1:$C$1716&lt;=A65)*(Tabelle2!$D$1:$D$1716&gt;=A65)*ROW(Tabelle2!$1:$1716)))</f>
        <v>619477</v>
      </c>
      <c r="L65">
        <f t="shared" si="0"/>
        <v>6.6184862391985506</v>
      </c>
    </row>
    <row r="66" spans="1:12" x14ac:dyDescent="0.25">
      <c r="A66" s="1">
        <v>45312</v>
      </c>
      <c r="B66">
        <v>5112</v>
      </c>
      <c r="C66" t="s">
        <v>75</v>
      </c>
      <c r="D66">
        <v>37</v>
      </c>
      <c r="E66">
        <v>7.4724529033508897</v>
      </c>
      <c r="I66"/>
      <c r="J66"/>
      <c r="K66">
        <f>INDEX(Tabelle2!E:E,SUMPRODUCT((Tabelle2!$A$1:$A$1716=B66)*(Tabelle2!$C$1:$C$1716&lt;=A66)*(Tabelle2!$D$1:$D$1716&gt;=A66)*ROW(Tabelle2!$1:$1716)))</f>
        <v>495152</v>
      </c>
      <c r="L66">
        <f t="shared" si="0"/>
        <v>7.4724529033508906</v>
      </c>
    </row>
    <row r="67" spans="1:12" x14ac:dyDescent="0.25">
      <c r="A67" s="1">
        <v>45312</v>
      </c>
      <c r="B67">
        <v>5113</v>
      </c>
      <c r="C67" t="s">
        <v>76</v>
      </c>
      <c r="D67">
        <v>24</v>
      </c>
      <c r="E67">
        <v>4.1419873255187802</v>
      </c>
      <c r="I67"/>
      <c r="J67"/>
      <c r="K67">
        <f>INDEX(Tabelle2!E:E,SUMPRODUCT((Tabelle2!$A$1:$A$1716=B67)*(Tabelle2!$C$1:$C$1716&lt;=A67)*(Tabelle2!$D$1:$D$1716&gt;=A67)*ROW(Tabelle2!$1:$1716)))</f>
        <v>579432</v>
      </c>
      <c r="L67">
        <f t="shared" ref="L67:L130" si="1">D67/K67*100000</f>
        <v>4.1419873255187838</v>
      </c>
    </row>
    <row r="68" spans="1:12" x14ac:dyDescent="0.25">
      <c r="A68" s="1">
        <v>45312</v>
      </c>
      <c r="B68">
        <v>5114</v>
      </c>
      <c r="C68" t="s">
        <v>77</v>
      </c>
      <c r="D68">
        <v>28</v>
      </c>
      <c r="E68">
        <v>12.332085443734799</v>
      </c>
      <c r="I68"/>
      <c r="J68"/>
      <c r="K68">
        <f>INDEX(Tabelle2!E:E,SUMPRODUCT((Tabelle2!$A$1:$A$1716=B68)*(Tabelle2!$C$1:$C$1716&lt;=A68)*(Tabelle2!$D$1:$D$1716&gt;=A68)*ROW(Tabelle2!$1:$1716)))</f>
        <v>227050</v>
      </c>
      <c r="L68">
        <f t="shared" si="1"/>
        <v>12.33208544373486</v>
      </c>
    </row>
    <row r="69" spans="1:12" x14ac:dyDescent="0.25">
      <c r="A69" s="1">
        <v>45312</v>
      </c>
      <c r="B69">
        <v>5116</v>
      </c>
      <c r="C69" t="s">
        <v>452</v>
      </c>
      <c r="D69">
        <v>20</v>
      </c>
      <c r="E69">
        <v>7.6628058896326001</v>
      </c>
      <c r="I69"/>
      <c r="J69"/>
      <c r="K69">
        <f>INDEX(Tabelle2!E:E,SUMPRODUCT((Tabelle2!$A$1:$A$1716=B69)*(Tabelle2!$C$1:$C$1716&lt;=A69)*(Tabelle2!$D$1:$D$1716&gt;=A69)*ROW(Tabelle2!$1:$1716)))</f>
        <v>261001</v>
      </c>
      <c r="L69">
        <f t="shared" si="1"/>
        <v>7.6628058896326063</v>
      </c>
    </row>
    <row r="70" spans="1:12" x14ac:dyDescent="0.25">
      <c r="A70" s="1">
        <v>45312</v>
      </c>
      <c r="B70">
        <v>5117</v>
      </c>
      <c r="C70" t="s">
        <v>453</v>
      </c>
      <c r="D70">
        <v>19</v>
      </c>
      <c r="E70">
        <v>11.1280960998951</v>
      </c>
      <c r="I70"/>
      <c r="J70"/>
      <c r="K70">
        <f>INDEX(Tabelle2!E:E,SUMPRODUCT((Tabelle2!$A$1:$A$1716=B70)*(Tabelle2!$C$1:$C$1716&lt;=A70)*(Tabelle2!$D$1:$D$1716&gt;=A70)*ROW(Tabelle2!$1:$1716)))</f>
        <v>170739</v>
      </c>
      <c r="L70">
        <f t="shared" si="1"/>
        <v>11.128096099895162</v>
      </c>
    </row>
    <row r="71" spans="1:12" x14ac:dyDescent="0.25">
      <c r="A71" s="1">
        <v>45312</v>
      </c>
      <c r="B71">
        <v>5119</v>
      </c>
      <c r="C71" t="s">
        <v>80</v>
      </c>
      <c r="D71">
        <v>9</v>
      </c>
      <c r="E71">
        <v>4.3113359392963897</v>
      </c>
      <c r="I71"/>
      <c r="J71"/>
      <c r="K71">
        <f>INDEX(Tabelle2!E:E,SUMPRODUCT((Tabelle2!$A$1:$A$1716=B71)*(Tabelle2!$C$1:$C$1716&lt;=A71)*(Tabelle2!$D$1:$D$1716&gt;=A71)*ROW(Tabelle2!$1:$1716)))</f>
        <v>208752</v>
      </c>
      <c r="L71">
        <f t="shared" si="1"/>
        <v>4.3113359392963897</v>
      </c>
    </row>
    <row r="72" spans="1:12" x14ac:dyDescent="0.25">
      <c r="A72" s="1">
        <v>45312</v>
      </c>
      <c r="B72">
        <v>5120</v>
      </c>
      <c r="C72" t="s">
        <v>81</v>
      </c>
      <c r="D72">
        <v>10</v>
      </c>
      <c r="E72">
        <v>8.9469446184128092</v>
      </c>
      <c r="I72"/>
      <c r="J72"/>
      <c r="K72">
        <f>INDEX(Tabelle2!E:E,SUMPRODUCT((Tabelle2!$A$1:$A$1716=B72)*(Tabelle2!$C$1:$C$1716&lt;=A72)*(Tabelle2!$D$1:$D$1716&gt;=A72)*ROW(Tabelle2!$1:$1716)))</f>
        <v>111770</v>
      </c>
      <c r="L72">
        <f t="shared" si="1"/>
        <v>8.946944618412811</v>
      </c>
    </row>
    <row r="73" spans="1:12" x14ac:dyDescent="0.25">
      <c r="A73" s="1">
        <v>45312</v>
      </c>
      <c r="B73">
        <v>5122</v>
      </c>
      <c r="C73" t="s">
        <v>82</v>
      </c>
      <c r="D73">
        <v>10</v>
      </c>
      <c r="E73">
        <v>6.2910095182974004</v>
      </c>
      <c r="I73"/>
      <c r="J73"/>
      <c r="K73">
        <f>INDEX(Tabelle2!E:E,SUMPRODUCT((Tabelle2!$A$1:$A$1716=B73)*(Tabelle2!$C$1:$C$1716&lt;=A73)*(Tabelle2!$D$1:$D$1716&gt;=A73)*ROW(Tabelle2!$1:$1716)))</f>
        <v>158957</v>
      </c>
      <c r="L73">
        <f t="shared" si="1"/>
        <v>6.2910095182974013</v>
      </c>
    </row>
    <row r="74" spans="1:12" x14ac:dyDescent="0.25">
      <c r="A74" s="1">
        <v>45312</v>
      </c>
      <c r="B74">
        <v>5124</v>
      </c>
      <c r="C74" t="s">
        <v>83</v>
      </c>
      <c r="D74">
        <v>23</v>
      </c>
      <c r="E74">
        <v>6.4866938167706403</v>
      </c>
      <c r="I74"/>
      <c r="J74"/>
      <c r="K74">
        <f>INDEX(Tabelle2!E:E,SUMPRODUCT((Tabelle2!$A$1:$A$1716=B74)*(Tabelle2!$C$1:$C$1716&lt;=A74)*(Tabelle2!$D$1:$D$1716&gt;=A74)*ROW(Tabelle2!$1:$1716)))</f>
        <v>354572</v>
      </c>
      <c r="L74">
        <f t="shared" si="1"/>
        <v>6.4866938167706412</v>
      </c>
    </row>
    <row r="75" spans="1:12" x14ac:dyDescent="0.25">
      <c r="A75" s="1">
        <v>45312</v>
      </c>
      <c r="B75">
        <v>5154</v>
      </c>
      <c r="C75" t="s">
        <v>84</v>
      </c>
      <c r="D75">
        <v>11</v>
      </c>
      <c r="E75">
        <v>3.4956590270627501</v>
      </c>
      <c r="I75"/>
      <c r="J75"/>
      <c r="K75">
        <f>INDEX(Tabelle2!E:E,SUMPRODUCT((Tabelle2!$A$1:$A$1716=B75)*(Tabelle2!$C$1:$C$1716&lt;=A75)*(Tabelle2!$D$1:$D$1716&gt;=A75)*ROW(Tabelle2!$1:$1716)))</f>
        <v>314676</v>
      </c>
      <c r="L75">
        <f t="shared" si="1"/>
        <v>3.4956590270627563</v>
      </c>
    </row>
    <row r="76" spans="1:12" x14ac:dyDescent="0.25">
      <c r="A76" s="1">
        <v>45312</v>
      </c>
      <c r="B76">
        <v>5158</v>
      </c>
      <c r="C76" t="s">
        <v>85</v>
      </c>
      <c r="D76">
        <v>40</v>
      </c>
      <c r="E76">
        <v>8.2574508010759402</v>
      </c>
      <c r="I76"/>
      <c r="J76"/>
      <c r="K76">
        <f>INDEX(Tabelle2!E:E,SUMPRODUCT((Tabelle2!$A$1:$A$1716=B76)*(Tabelle2!$C$1:$C$1716&lt;=A76)*(Tabelle2!$D$1:$D$1716&gt;=A76)*ROW(Tabelle2!$1:$1716)))</f>
        <v>484411</v>
      </c>
      <c r="L76">
        <f t="shared" si="1"/>
        <v>8.2574508010759455</v>
      </c>
    </row>
    <row r="77" spans="1:12" x14ac:dyDescent="0.25">
      <c r="A77" s="1">
        <v>45312</v>
      </c>
      <c r="B77">
        <v>5162</v>
      </c>
      <c r="C77" t="s">
        <v>86</v>
      </c>
      <c r="D77">
        <v>37</v>
      </c>
      <c r="E77">
        <v>8.1768678618153494</v>
      </c>
      <c r="I77"/>
      <c r="J77"/>
      <c r="K77">
        <f>INDEX(Tabelle2!E:E,SUMPRODUCT((Tabelle2!$A$1:$A$1716=B77)*(Tabelle2!$C$1:$C$1716&lt;=A77)*(Tabelle2!$D$1:$D$1716&gt;=A77)*ROW(Tabelle2!$1:$1716)))</f>
        <v>452496</v>
      </c>
      <c r="L77">
        <f t="shared" si="1"/>
        <v>8.176867861815353</v>
      </c>
    </row>
    <row r="78" spans="1:12" x14ac:dyDescent="0.25">
      <c r="A78" s="1">
        <v>45312</v>
      </c>
      <c r="B78">
        <v>5166</v>
      </c>
      <c r="C78" t="s">
        <v>87</v>
      </c>
      <c r="D78">
        <v>14</v>
      </c>
      <c r="E78">
        <v>4.6860199289733204</v>
      </c>
      <c r="I78"/>
      <c r="J78"/>
      <c r="K78">
        <f>INDEX(Tabelle2!E:E,SUMPRODUCT((Tabelle2!$A$1:$A$1716=B78)*(Tabelle2!$C$1:$C$1716&lt;=A78)*(Tabelle2!$D$1:$D$1716&gt;=A78)*ROW(Tabelle2!$1:$1716)))</f>
        <v>298761</v>
      </c>
      <c r="L78">
        <f t="shared" si="1"/>
        <v>4.6860199289733266</v>
      </c>
    </row>
    <row r="79" spans="1:12" x14ac:dyDescent="0.25">
      <c r="A79" s="1">
        <v>45312</v>
      </c>
      <c r="B79">
        <v>5170</v>
      </c>
      <c r="C79" t="s">
        <v>88</v>
      </c>
      <c r="D79">
        <v>20</v>
      </c>
      <c r="E79">
        <v>4.3437373081425497</v>
      </c>
      <c r="I79"/>
      <c r="J79"/>
      <c r="K79">
        <f>INDEX(Tabelle2!E:E,SUMPRODUCT((Tabelle2!$A$1:$A$1716=B79)*(Tabelle2!$C$1:$C$1716&lt;=A79)*(Tabelle2!$D$1:$D$1716&gt;=A79)*ROW(Tabelle2!$1:$1716)))</f>
        <v>460433</v>
      </c>
      <c r="L79">
        <f t="shared" si="1"/>
        <v>4.3437373081425523</v>
      </c>
    </row>
    <row r="80" spans="1:12" x14ac:dyDescent="0.25">
      <c r="A80" s="1">
        <v>45312</v>
      </c>
      <c r="B80">
        <v>5314</v>
      </c>
      <c r="C80" t="s">
        <v>89</v>
      </c>
      <c r="D80">
        <v>11</v>
      </c>
      <c r="E80">
        <v>3.31440107266071</v>
      </c>
      <c r="I80"/>
      <c r="J80"/>
      <c r="K80">
        <f>INDEX(Tabelle2!E:E,SUMPRODUCT((Tabelle2!$A$1:$A$1716=B80)*(Tabelle2!$C$1:$C$1716&lt;=A80)*(Tabelle2!$D$1:$D$1716&gt;=A80)*ROW(Tabelle2!$1:$1716)))</f>
        <v>331885</v>
      </c>
      <c r="L80">
        <f t="shared" si="1"/>
        <v>3.3144010726607109</v>
      </c>
    </row>
    <row r="81" spans="1:12" x14ac:dyDescent="0.25">
      <c r="A81" s="1">
        <v>45312</v>
      </c>
      <c r="B81">
        <v>5315</v>
      </c>
      <c r="C81" t="s">
        <v>454</v>
      </c>
      <c r="D81">
        <v>52</v>
      </c>
      <c r="E81">
        <v>4.84579198878758</v>
      </c>
      <c r="I81"/>
      <c r="J81"/>
      <c r="K81">
        <f>INDEX(Tabelle2!E:E,SUMPRODUCT((Tabelle2!$A$1:$A$1716=B81)*(Tabelle2!$C$1:$C$1716&lt;=A81)*(Tabelle2!$D$1:$D$1716&gt;=A81)*ROW(Tabelle2!$1:$1716)))</f>
        <v>1073096</v>
      </c>
      <c r="L81">
        <f t="shared" si="1"/>
        <v>4.8457919887875827</v>
      </c>
    </row>
    <row r="82" spans="1:12" x14ac:dyDescent="0.25">
      <c r="A82" s="1">
        <v>45312</v>
      </c>
      <c r="B82">
        <v>5316</v>
      </c>
      <c r="C82" t="s">
        <v>91</v>
      </c>
      <c r="D82">
        <v>32</v>
      </c>
      <c r="E82">
        <v>19.529938785848099</v>
      </c>
      <c r="I82"/>
      <c r="J82"/>
      <c r="K82">
        <f>INDEX(Tabelle2!E:E,SUMPRODUCT((Tabelle2!$A$1:$A$1716=B82)*(Tabelle2!$C$1:$C$1716&lt;=A82)*(Tabelle2!$D$1:$D$1716&gt;=A82)*ROW(Tabelle2!$1:$1716)))</f>
        <v>163851</v>
      </c>
      <c r="L82">
        <f t="shared" si="1"/>
        <v>19.52993878584812</v>
      </c>
    </row>
    <row r="83" spans="1:12" x14ac:dyDescent="0.25">
      <c r="A83" s="1">
        <v>45312</v>
      </c>
      <c r="B83">
        <v>5334</v>
      </c>
      <c r="C83" t="s">
        <v>516</v>
      </c>
      <c r="D83">
        <v>23</v>
      </c>
      <c r="E83">
        <v>4.1316895197000703</v>
      </c>
      <c r="I83"/>
      <c r="J83"/>
      <c r="K83">
        <f>INDEX(Tabelle2!E:E,SUMPRODUCT((Tabelle2!$A$1:$A$1716=B83)*(Tabelle2!$C$1:$C$1716&lt;=A83)*(Tabelle2!$D$1:$D$1716&gt;=A83)*ROW(Tabelle2!$1:$1716)))</f>
        <v>556673</v>
      </c>
      <c r="L83">
        <f t="shared" si="1"/>
        <v>4.1316895197000756</v>
      </c>
    </row>
    <row r="84" spans="1:12" x14ac:dyDescent="0.25">
      <c r="A84" s="1">
        <v>45312</v>
      </c>
      <c r="B84">
        <v>5358</v>
      </c>
      <c r="C84" t="s">
        <v>455</v>
      </c>
      <c r="D84">
        <v>23</v>
      </c>
      <c r="E84">
        <v>8.6216267885189897</v>
      </c>
      <c r="I84"/>
      <c r="J84"/>
      <c r="K84">
        <f>INDEX(Tabelle2!E:E,SUMPRODUCT((Tabelle2!$A$1:$A$1716=B84)*(Tabelle2!$C$1:$C$1716&lt;=A84)*(Tabelle2!$D$1:$D$1716&gt;=A84)*ROW(Tabelle2!$1:$1716)))</f>
        <v>266771</v>
      </c>
      <c r="L84">
        <f t="shared" si="1"/>
        <v>8.6216267885189914</v>
      </c>
    </row>
    <row r="85" spans="1:12" x14ac:dyDescent="0.25">
      <c r="A85" s="1">
        <v>45312</v>
      </c>
      <c r="B85">
        <v>5362</v>
      </c>
      <c r="C85" t="s">
        <v>94</v>
      </c>
      <c r="D85">
        <v>26</v>
      </c>
      <c r="E85">
        <v>5.5097469542754496</v>
      </c>
      <c r="I85"/>
      <c r="J85"/>
      <c r="K85">
        <f>INDEX(Tabelle2!E:E,SUMPRODUCT((Tabelle2!$A$1:$A$1716=B85)*(Tabelle2!$C$1:$C$1716&lt;=A85)*(Tabelle2!$D$1:$D$1716&gt;=A85)*ROW(Tabelle2!$1:$1716)))</f>
        <v>471891</v>
      </c>
      <c r="L85">
        <f t="shared" si="1"/>
        <v>5.5097469542754576</v>
      </c>
    </row>
    <row r="86" spans="1:12" x14ac:dyDescent="0.25">
      <c r="A86" s="1">
        <v>45312</v>
      </c>
      <c r="B86">
        <v>5366</v>
      </c>
      <c r="C86" t="s">
        <v>95</v>
      </c>
      <c r="D86">
        <v>22</v>
      </c>
      <c r="E86">
        <v>11.2993769934412</v>
      </c>
      <c r="I86"/>
      <c r="J86"/>
      <c r="K86">
        <f>INDEX(Tabelle2!E:E,SUMPRODUCT((Tabelle2!$A$1:$A$1716=B86)*(Tabelle2!$C$1:$C$1716&lt;=A86)*(Tabelle2!$D$1:$D$1716&gt;=A86)*ROW(Tabelle2!$1:$1716)))</f>
        <v>194701</v>
      </c>
      <c r="L86">
        <f t="shared" si="1"/>
        <v>11.299376993441225</v>
      </c>
    </row>
    <row r="87" spans="1:12" x14ac:dyDescent="0.25">
      <c r="A87" s="1">
        <v>45312</v>
      </c>
      <c r="B87">
        <v>5370</v>
      </c>
      <c r="C87" t="s">
        <v>96</v>
      </c>
      <c r="D87">
        <v>19</v>
      </c>
      <c r="E87">
        <v>7.3556169814096402</v>
      </c>
      <c r="I87"/>
      <c r="J87"/>
      <c r="K87">
        <f>INDEX(Tabelle2!E:E,SUMPRODUCT((Tabelle2!$A$1:$A$1716=B87)*(Tabelle2!$C$1:$C$1716&lt;=A87)*(Tabelle2!$D$1:$D$1716&gt;=A87)*ROW(Tabelle2!$1:$1716)))</f>
        <v>258306</v>
      </c>
      <c r="L87">
        <f t="shared" si="1"/>
        <v>7.3556169814096455</v>
      </c>
    </row>
    <row r="88" spans="1:12" x14ac:dyDescent="0.25">
      <c r="A88" s="1">
        <v>45312</v>
      </c>
      <c r="B88">
        <v>5374</v>
      </c>
      <c r="C88" t="s">
        <v>97</v>
      </c>
      <c r="D88">
        <v>11</v>
      </c>
      <c r="E88">
        <v>4.04976051188972</v>
      </c>
      <c r="I88"/>
      <c r="J88"/>
      <c r="K88">
        <f>INDEX(Tabelle2!E:E,SUMPRODUCT((Tabelle2!$A$1:$A$1716=B88)*(Tabelle2!$C$1:$C$1716&lt;=A88)*(Tabelle2!$D$1:$D$1716&gt;=A88)*ROW(Tabelle2!$1:$1716)))</f>
        <v>271621</v>
      </c>
      <c r="L88">
        <f t="shared" si="1"/>
        <v>4.0497605118897289</v>
      </c>
    </row>
    <row r="89" spans="1:12" x14ac:dyDescent="0.25">
      <c r="A89" s="1">
        <v>45312</v>
      </c>
      <c r="B89">
        <v>5378</v>
      </c>
      <c r="C89" t="s">
        <v>98</v>
      </c>
      <c r="D89">
        <v>10</v>
      </c>
      <c r="E89">
        <v>3.5282204714408101</v>
      </c>
      <c r="I89"/>
      <c r="J89"/>
      <c r="K89">
        <f>INDEX(Tabelle2!E:E,SUMPRODUCT((Tabelle2!$A$1:$A$1716=B89)*(Tabelle2!$C$1:$C$1716&lt;=A89)*(Tabelle2!$D$1:$D$1716&gt;=A89)*ROW(Tabelle2!$1:$1716)))</f>
        <v>283429</v>
      </c>
      <c r="L89">
        <f t="shared" si="1"/>
        <v>3.528220471440819</v>
      </c>
    </row>
    <row r="90" spans="1:12" x14ac:dyDescent="0.25">
      <c r="A90" s="1">
        <v>45312</v>
      </c>
      <c r="B90">
        <v>5382</v>
      </c>
      <c r="C90" t="s">
        <v>99</v>
      </c>
      <c r="D90">
        <v>39</v>
      </c>
      <c r="E90">
        <v>6.4920796628113697</v>
      </c>
      <c r="I90"/>
      <c r="J90"/>
      <c r="K90">
        <f>INDEX(Tabelle2!E:E,SUMPRODUCT((Tabelle2!$A$1:$A$1716=B90)*(Tabelle2!$C$1:$C$1716&lt;=A90)*(Tabelle2!$D$1:$D$1716&gt;=A90)*ROW(Tabelle2!$1:$1716)))</f>
        <v>600732</v>
      </c>
      <c r="L90">
        <f t="shared" si="1"/>
        <v>6.4920796628113706</v>
      </c>
    </row>
    <row r="91" spans="1:12" x14ac:dyDescent="0.25">
      <c r="A91" s="1">
        <v>45312</v>
      </c>
      <c r="B91">
        <v>5512</v>
      </c>
      <c r="C91" t="s">
        <v>100</v>
      </c>
      <c r="D91">
        <v>11</v>
      </c>
      <c r="E91">
        <v>9.37678478574046</v>
      </c>
      <c r="I91"/>
      <c r="J91"/>
      <c r="K91">
        <f>INDEX(Tabelle2!E:E,SUMPRODUCT((Tabelle2!$A$1:$A$1716=B91)*(Tabelle2!$C$1:$C$1716&lt;=A91)*(Tabelle2!$D$1:$D$1716&gt;=A91)*ROW(Tabelle2!$1:$1716)))</f>
        <v>117311</v>
      </c>
      <c r="L91">
        <f t="shared" si="1"/>
        <v>9.3767847857404671</v>
      </c>
    </row>
    <row r="92" spans="1:12" x14ac:dyDescent="0.25">
      <c r="A92" s="1">
        <v>45312</v>
      </c>
      <c r="B92">
        <v>5513</v>
      </c>
      <c r="C92" t="s">
        <v>101</v>
      </c>
      <c r="D92">
        <v>14</v>
      </c>
      <c r="E92">
        <v>5.3820071811352896</v>
      </c>
      <c r="I92"/>
      <c r="J92"/>
      <c r="K92">
        <f>INDEX(Tabelle2!E:E,SUMPRODUCT((Tabelle2!$A$1:$A$1716=B92)*(Tabelle2!$C$1:$C$1716&lt;=A92)*(Tabelle2!$D$1:$D$1716&gt;=A92)*ROW(Tabelle2!$1:$1716)))</f>
        <v>260126</v>
      </c>
      <c r="L92">
        <f t="shared" si="1"/>
        <v>5.3820071811352959</v>
      </c>
    </row>
    <row r="93" spans="1:12" x14ac:dyDescent="0.25">
      <c r="A93" s="1">
        <v>45312</v>
      </c>
      <c r="B93">
        <v>5515</v>
      </c>
      <c r="C93" t="s">
        <v>456</v>
      </c>
      <c r="D93">
        <v>17</v>
      </c>
      <c r="E93">
        <v>5.3507410776392499</v>
      </c>
      <c r="I93"/>
      <c r="J93"/>
      <c r="K93">
        <f>INDEX(Tabelle2!E:E,SUMPRODUCT((Tabelle2!$A$1:$A$1716=B93)*(Tabelle2!$C$1:$C$1716&lt;=A93)*(Tabelle2!$D$1:$D$1716&gt;=A93)*ROW(Tabelle2!$1:$1716)))</f>
        <v>317713</v>
      </c>
      <c r="L93">
        <f t="shared" si="1"/>
        <v>5.3507410776392526</v>
      </c>
    </row>
    <row r="94" spans="1:12" x14ac:dyDescent="0.25">
      <c r="A94" s="1">
        <v>45312</v>
      </c>
      <c r="B94">
        <v>5554</v>
      </c>
      <c r="C94" t="s">
        <v>103</v>
      </c>
      <c r="D94">
        <v>38</v>
      </c>
      <c r="E94">
        <v>10.171796285688201</v>
      </c>
      <c r="I94"/>
      <c r="J94"/>
      <c r="K94">
        <f>INDEX(Tabelle2!E:E,SUMPRODUCT((Tabelle2!$A$1:$A$1716=B94)*(Tabelle2!$C$1:$C$1716&lt;=A94)*(Tabelle2!$D$1:$D$1716&gt;=A94)*ROW(Tabelle2!$1:$1716)))</f>
        <v>373582</v>
      </c>
      <c r="L94">
        <f t="shared" si="1"/>
        <v>10.171796285688282</v>
      </c>
    </row>
    <row r="95" spans="1:12" x14ac:dyDescent="0.25">
      <c r="A95" s="1">
        <v>45312</v>
      </c>
      <c r="B95">
        <v>5558</v>
      </c>
      <c r="C95" t="s">
        <v>104</v>
      </c>
      <c r="D95">
        <v>20</v>
      </c>
      <c r="E95">
        <v>9.0353825580975098</v>
      </c>
      <c r="I95"/>
      <c r="J95"/>
      <c r="K95">
        <f>INDEX(Tabelle2!E:E,SUMPRODUCT((Tabelle2!$A$1:$A$1716=B95)*(Tabelle2!$C$1:$C$1716&lt;=A95)*(Tabelle2!$D$1:$D$1716&gt;=A95)*ROW(Tabelle2!$1:$1716)))</f>
        <v>221352</v>
      </c>
      <c r="L95">
        <f t="shared" si="1"/>
        <v>9.0353825580975098</v>
      </c>
    </row>
    <row r="96" spans="1:12" x14ac:dyDescent="0.25">
      <c r="A96" s="1">
        <v>45312</v>
      </c>
      <c r="B96">
        <v>5562</v>
      </c>
      <c r="C96" t="s">
        <v>105</v>
      </c>
      <c r="D96">
        <v>40</v>
      </c>
      <c r="E96">
        <v>6.5274044918334004</v>
      </c>
      <c r="I96"/>
      <c r="J96"/>
      <c r="K96">
        <f>INDEX(Tabelle2!E:E,SUMPRODUCT((Tabelle2!$A$1:$A$1716=B96)*(Tabelle2!$C$1:$C$1716&lt;=A96)*(Tabelle2!$D$1:$D$1716&gt;=A96)*ROW(Tabelle2!$1:$1716)))</f>
        <v>612801</v>
      </c>
      <c r="L96">
        <f t="shared" si="1"/>
        <v>6.5274044918334013</v>
      </c>
    </row>
    <row r="97" spans="1:12" x14ac:dyDescent="0.25">
      <c r="A97" s="1">
        <v>45312</v>
      </c>
      <c r="B97">
        <v>5566</v>
      </c>
      <c r="C97" t="s">
        <v>106</v>
      </c>
      <c r="D97">
        <v>13</v>
      </c>
      <c r="E97">
        <v>2.8877594540801801</v>
      </c>
      <c r="I97"/>
      <c r="J97"/>
      <c r="K97">
        <f>INDEX(Tabelle2!E:E,SUMPRODUCT((Tabelle2!$A$1:$A$1716=B97)*(Tabelle2!$C$1:$C$1716&lt;=A97)*(Tabelle2!$D$1:$D$1716&gt;=A97)*ROW(Tabelle2!$1:$1716)))</f>
        <v>450176</v>
      </c>
      <c r="L97">
        <f t="shared" si="1"/>
        <v>2.8877594540801819</v>
      </c>
    </row>
    <row r="98" spans="1:12" x14ac:dyDescent="0.25">
      <c r="A98" s="1">
        <v>45312</v>
      </c>
      <c r="B98">
        <v>5570</v>
      </c>
      <c r="C98" t="s">
        <v>107</v>
      </c>
      <c r="D98">
        <v>21</v>
      </c>
      <c r="E98">
        <v>7.5491774991372296</v>
      </c>
      <c r="I98"/>
      <c r="J98"/>
      <c r="K98">
        <f>INDEX(Tabelle2!E:E,SUMPRODUCT((Tabelle2!$A$1:$A$1716=B98)*(Tabelle2!$C$1:$C$1716&lt;=A98)*(Tabelle2!$D$1:$D$1716&gt;=A98)*ROW(Tabelle2!$1:$1716)))</f>
        <v>278176</v>
      </c>
      <c r="L98">
        <f t="shared" si="1"/>
        <v>7.5491774991372376</v>
      </c>
    </row>
    <row r="99" spans="1:12" x14ac:dyDescent="0.25">
      <c r="A99" s="1">
        <v>45312</v>
      </c>
      <c r="B99">
        <v>5711</v>
      </c>
      <c r="C99" t="s">
        <v>108</v>
      </c>
      <c r="D99">
        <v>32</v>
      </c>
      <c r="E99">
        <v>9.5807809534074604</v>
      </c>
      <c r="I99"/>
      <c r="J99"/>
      <c r="K99">
        <f>INDEX(Tabelle2!E:E,SUMPRODUCT((Tabelle2!$A$1:$A$1716=B99)*(Tabelle2!$C$1:$C$1716&lt;=A99)*(Tabelle2!$D$1:$D$1716&gt;=A99)*ROW(Tabelle2!$1:$1716)))</f>
        <v>334002</v>
      </c>
      <c r="L99">
        <f t="shared" si="1"/>
        <v>9.5807809534074657</v>
      </c>
    </row>
    <row r="100" spans="1:12" x14ac:dyDescent="0.25">
      <c r="A100" s="1">
        <v>45312</v>
      </c>
      <c r="B100">
        <v>5754</v>
      </c>
      <c r="C100" t="s">
        <v>457</v>
      </c>
      <c r="D100">
        <v>13</v>
      </c>
      <c r="E100">
        <v>3.5509035683849399</v>
      </c>
      <c r="I100"/>
      <c r="J100"/>
      <c r="K100">
        <f>INDEX(Tabelle2!E:E,SUMPRODUCT((Tabelle2!$A$1:$A$1716=B100)*(Tabelle2!$C$1:$C$1716&lt;=A100)*(Tabelle2!$D$1:$D$1716&gt;=A100)*ROW(Tabelle2!$1:$1716)))</f>
        <v>366104</v>
      </c>
      <c r="L100">
        <f t="shared" si="1"/>
        <v>3.5509035683849399</v>
      </c>
    </row>
    <row r="101" spans="1:12" x14ac:dyDescent="0.25">
      <c r="A101" s="1">
        <v>45312</v>
      </c>
      <c r="B101">
        <v>5758</v>
      </c>
      <c r="C101" t="s">
        <v>110</v>
      </c>
      <c r="D101">
        <v>9</v>
      </c>
      <c r="E101">
        <v>3.59087916691603</v>
      </c>
      <c r="I101"/>
      <c r="J101"/>
      <c r="K101">
        <f>INDEX(Tabelle2!E:E,SUMPRODUCT((Tabelle2!$A$1:$A$1716=B101)*(Tabelle2!$C$1:$C$1716&lt;=A101)*(Tabelle2!$D$1:$D$1716&gt;=A101)*ROW(Tabelle2!$1:$1716)))</f>
        <v>250635</v>
      </c>
      <c r="L101">
        <f t="shared" si="1"/>
        <v>3.5908791669160331</v>
      </c>
    </row>
    <row r="102" spans="1:12" x14ac:dyDescent="0.25">
      <c r="A102" s="1">
        <v>45312</v>
      </c>
      <c r="B102">
        <v>5762</v>
      </c>
      <c r="C102" t="s">
        <v>458</v>
      </c>
      <c r="D102">
        <v>9</v>
      </c>
      <c r="E102">
        <v>6.4288469505835897</v>
      </c>
      <c r="I102"/>
      <c r="J102"/>
      <c r="K102">
        <f>INDEX(Tabelle2!E:E,SUMPRODUCT((Tabelle2!$A$1:$A$1716=B102)*(Tabelle2!$C$1:$C$1716&lt;=A102)*(Tabelle2!$D$1:$D$1716&gt;=A102)*ROW(Tabelle2!$1:$1716)))</f>
        <v>139994</v>
      </c>
      <c r="L102">
        <f t="shared" si="1"/>
        <v>6.4288469505835959</v>
      </c>
    </row>
    <row r="103" spans="1:12" x14ac:dyDescent="0.25">
      <c r="A103" s="1">
        <v>45312</v>
      </c>
      <c r="B103">
        <v>5766</v>
      </c>
      <c r="C103" t="s">
        <v>112</v>
      </c>
      <c r="D103">
        <v>24</v>
      </c>
      <c r="E103">
        <v>6.9333903412094697</v>
      </c>
      <c r="I103"/>
      <c r="J103"/>
      <c r="K103">
        <f>INDEX(Tabelle2!E:E,SUMPRODUCT((Tabelle2!$A$1:$A$1716=B103)*(Tabelle2!$C$1:$C$1716&lt;=A103)*(Tabelle2!$D$1:$D$1716&gt;=A103)*ROW(Tabelle2!$1:$1716)))</f>
        <v>346151</v>
      </c>
      <c r="L103">
        <f t="shared" si="1"/>
        <v>6.9333903412094724</v>
      </c>
    </row>
    <row r="104" spans="1:12" x14ac:dyDescent="0.25">
      <c r="A104" s="1">
        <v>45312</v>
      </c>
      <c r="B104">
        <v>5770</v>
      </c>
      <c r="C104" t="s">
        <v>459</v>
      </c>
      <c r="D104">
        <v>21</v>
      </c>
      <c r="E104">
        <v>6.7477684165879399</v>
      </c>
      <c r="I104"/>
      <c r="J104"/>
      <c r="K104">
        <f>INDEX(Tabelle2!E:E,SUMPRODUCT((Tabelle2!$A$1:$A$1716=B104)*(Tabelle2!$C$1:$C$1716&lt;=A104)*(Tabelle2!$D$1:$D$1716&gt;=A104)*ROW(Tabelle2!$1:$1716)))</f>
        <v>311214</v>
      </c>
      <c r="L104">
        <f t="shared" si="1"/>
        <v>6.7477684165879435</v>
      </c>
    </row>
    <row r="105" spans="1:12" x14ac:dyDescent="0.25">
      <c r="A105" s="1">
        <v>45312</v>
      </c>
      <c r="B105">
        <v>5774</v>
      </c>
      <c r="C105" t="s">
        <v>114</v>
      </c>
      <c r="D105">
        <v>7</v>
      </c>
      <c r="E105">
        <v>2.2625896955200702</v>
      </c>
      <c r="I105"/>
      <c r="J105"/>
      <c r="K105">
        <f>INDEX(Tabelle2!E:E,SUMPRODUCT((Tabelle2!$A$1:$A$1716=B105)*(Tabelle2!$C$1:$C$1716&lt;=A105)*(Tabelle2!$D$1:$D$1716&gt;=A105)*ROW(Tabelle2!$1:$1716)))</f>
        <v>309380</v>
      </c>
      <c r="L105">
        <f t="shared" si="1"/>
        <v>2.2625896955200724</v>
      </c>
    </row>
    <row r="106" spans="1:12" x14ac:dyDescent="0.25">
      <c r="A106" s="1">
        <v>45312</v>
      </c>
      <c r="B106">
        <v>5911</v>
      </c>
      <c r="C106" t="s">
        <v>115</v>
      </c>
      <c r="D106">
        <v>29</v>
      </c>
      <c r="E106">
        <v>7.9792868718719099</v>
      </c>
      <c r="I106"/>
      <c r="J106"/>
      <c r="K106">
        <f>INDEX(Tabelle2!E:E,SUMPRODUCT((Tabelle2!$A$1:$A$1716=B106)*(Tabelle2!$C$1:$C$1716&lt;=A106)*(Tabelle2!$D$1:$D$1716&gt;=A106)*ROW(Tabelle2!$1:$1716)))</f>
        <v>363441</v>
      </c>
      <c r="L106">
        <f t="shared" si="1"/>
        <v>7.9792868718719134</v>
      </c>
    </row>
    <row r="107" spans="1:12" x14ac:dyDescent="0.25">
      <c r="A107" s="1">
        <v>45312</v>
      </c>
      <c r="B107">
        <v>5913</v>
      </c>
      <c r="C107" t="s">
        <v>116</v>
      </c>
      <c r="D107">
        <v>62</v>
      </c>
      <c r="E107">
        <v>10.564844287827199</v>
      </c>
      <c r="I107"/>
      <c r="J107"/>
      <c r="K107">
        <f>INDEX(Tabelle2!E:E,SUMPRODUCT((Tabelle2!$A$1:$A$1716=B107)*(Tabelle2!$C$1:$C$1716&lt;=A107)*(Tabelle2!$D$1:$D$1716&gt;=A107)*ROW(Tabelle2!$1:$1716)))</f>
        <v>586852</v>
      </c>
      <c r="L107">
        <f t="shared" si="1"/>
        <v>10.564844287827254</v>
      </c>
    </row>
    <row r="108" spans="1:12" x14ac:dyDescent="0.25">
      <c r="A108" s="1">
        <v>45312</v>
      </c>
      <c r="B108">
        <v>5914</v>
      </c>
      <c r="C108" t="s">
        <v>117</v>
      </c>
      <c r="D108">
        <v>11</v>
      </c>
      <c r="E108">
        <v>5.8289571995569904</v>
      </c>
      <c r="I108"/>
      <c r="J108"/>
      <c r="K108">
        <f>INDEX(Tabelle2!E:E,SUMPRODUCT((Tabelle2!$A$1:$A$1716=B108)*(Tabelle2!$C$1:$C$1716&lt;=A108)*(Tabelle2!$D$1:$D$1716&gt;=A108)*ROW(Tabelle2!$1:$1716)))</f>
        <v>188713</v>
      </c>
      <c r="L108">
        <f t="shared" si="1"/>
        <v>5.8289571995569993</v>
      </c>
    </row>
    <row r="109" spans="1:12" x14ac:dyDescent="0.25">
      <c r="A109" s="1">
        <v>45312</v>
      </c>
      <c r="B109">
        <v>5915</v>
      </c>
      <c r="C109" t="s">
        <v>118</v>
      </c>
      <c r="D109">
        <v>8</v>
      </c>
      <c r="E109">
        <v>4.4633392472578297</v>
      </c>
      <c r="I109"/>
      <c r="J109"/>
      <c r="K109">
        <f>INDEX(Tabelle2!E:E,SUMPRODUCT((Tabelle2!$A$1:$A$1716=B109)*(Tabelle2!$C$1:$C$1716&lt;=A109)*(Tabelle2!$D$1:$D$1716&gt;=A109)*ROW(Tabelle2!$1:$1716)))</f>
        <v>179238</v>
      </c>
      <c r="L109">
        <f t="shared" si="1"/>
        <v>4.4633392472578359</v>
      </c>
    </row>
    <row r="110" spans="1:12" x14ac:dyDescent="0.25">
      <c r="A110" s="1">
        <v>45312</v>
      </c>
      <c r="B110">
        <v>5916</v>
      </c>
      <c r="C110" t="s">
        <v>119</v>
      </c>
      <c r="D110">
        <v>6</v>
      </c>
      <c r="E110">
        <v>3.8309039017756201</v>
      </c>
      <c r="I110"/>
      <c r="J110"/>
      <c r="K110">
        <f>INDEX(Tabelle2!E:E,SUMPRODUCT((Tabelle2!$A$1:$A$1716=B110)*(Tabelle2!$C$1:$C$1716&lt;=A110)*(Tabelle2!$D$1:$D$1716&gt;=A110)*ROW(Tabelle2!$1:$1716)))</f>
        <v>156621</v>
      </c>
      <c r="L110">
        <f t="shared" si="1"/>
        <v>3.8309039017756237</v>
      </c>
    </row>
    <row r="111" spans="1:12" x14ac:dyDescent="0.25">
      <c r="A111" s="1">
        <v>45312</v>
      </c>
      <c r="B111">
        <v>5954</v>
      </c>
      <c r="C111" t="s">
        <v>120</v>
      </c>
      <c r="D111">
        <v>20</v>
      </c>
      <c r="E111">
        <v>6.2084229674399198</v>
      </c>
      <c r="I111"/>
      <c r="J111"/>
      <c r="K111">
        <f>INDEX(Tabelle2!E:E,SUMPRODUCT((Tabelle2!$A$1:$A$1716=B111)*(Tabelle2!$C$1:$C$1716&lt;=A111)*(Tabelle2!$D$1:$D$1716&gt;=A111)*ROW(Tabelle2!$1:$1716)))</f>
        <v>322143</v>
      </c>
      <c r="L111">
        <f t="shared" si="1"/>
        <v>6.2084229674399261</v>
      </c>
    </row>
    <row r="112" spans="1:12" x14ac:dyDescent="0.25">
      <c r="A112" s="1">
        <v>45312</v>
      </c>
      <c r="B112">
        <v>5958</v>
      </c>
      <c r="C112" t="s">
        <v>121</v>
      </c>
      <c r="D112">
        <v>21</v>
      </c>
      <c r="E112">
        <v>8.12017864393016</v>
      </c>
      <c r="I112"/>
      <c r="J112"/>
      <c r="K112">
        <f>INDEX(Tabelle2!E:E,SUMPRODUCT((Tabelle2!$A$1:$A$1716=B112)*(Tabelle2!$C$1:$C$1716&lt;=A112)*(Tabelle2!$D$1:$D$1716&gt;=A112)*ROW(Tabelle2!$1:$1716)))</f>
        <v>258615</v>
      </c>
      <c r="L112">
        <f t="shared" si="1"/>
        <v>8.1201786439301653</v>
      </c>
    </row>
    <row r="113" spans="1:12" x14ac:dyDescent="0.25">
      <c r="A113" s="1">
        <v>45312</v>
      </c>
      <c r="B113">
        <v>5962</v>
      </c>
      <c r="C113" t="s">
        <v>460</v>
      </c>
      <c r="D113">
        <v>14</v>
      </c>
      <c r="E113">
        <v>3.4415538123812301</v>
      </c>
      <c r="I113"/>
      <c r="J113"/>
      <c r="K113">
        <f>INDEX(Tabelle2!E:E,SUMPRODUCT((Tabelle2!$A$1:$A$1716=B113)*(Tabelle2!$C$1:$C$1716&lt;=A113)*(Tabelle2!$D$1:$D$1716&gt;=A113)*ROW(Tabelle2!$1:$1716)))</f>
        <v>406793</v>
      </c>
      <c r="L113">
        <f t="shared" si="1"/>
        <v>3.4415538123812359</v>
      </c>
    </row>
    <row r="114" spans="1:12" x14ac:dyDescent="0.25">
      <c r="A114" s="1">
        <v>45312</v>
      </c>
      <c r="B114">
        <v>5966</v>
      </c>
      <c r="C114" t="s">
        <v>123</v>
      </c>
      <c r="D114">
        <v>3</v>
      </c>
      <c r="E114">
        <v>2.2536057692307598</v>
      </c>
      <c r="I114"/>
      <c r="J114"/>
      <c r="K114">
        <f>INDEX(Tabelle2!E:E,SUMPRODUCT((Tabelle2!$A$1:$A$1716=B114)*(Tabelle2!$C$1:$C$1716&lt;=A114)*(Tabelle2!$D$1:$D$1716&gt;=A114)*ROW(Tabelle2!$1:$1716)))</f>
        <v>133120</v>
      </c>
      <c r="L114">
        <f t="shared" si="1"/>
        <v>2.2536057692307692</v>
      </c>
    </row>
    <row r="115" spans="1:12" x14ac:dyDescent="0.25">
      <c r="A115" s="1">
        <v>45312</v>
      </c>
      <c r="B115">
        <v>5970</v>
      </c>
      <c r="C115" t="s">
        <v>124</v>
      </c>
      <c r="D115">
        <v>11</v>
      </c>
      <c r="E115">
        <v>4.0095938645923699</v>
      </c>
      <c r="I115"/>
      <c r="J115"/>
      <c r="K115">
        <f>INDEX(Tabelle2!E:E,SUMPRODUCT((Tabelle2!$A$1:$A$1716=B115)*(Tabelle2!$C$1:$C$1716&lt;=A115)*(Tabelle2!$D$1:$D$1716&gt;=A115)*ROW(Tabelle2!$1:$1716)))</f>
        <v>274342</v>
      </c>
      <c r="L115">
        <f t="shared" si="1"/>
        <v>4.0095938645923708</v>
      </c>
    </row>
    <row r="116" spans="1:12" x14ac:dyDescent="0.25">
      <c r="A116" s="1">
        <v>45312</v>
      </c>
      <c r="B116">
        <v>5974</v>
      </c>
      <c r="C116" t="s">
        <v>125</v>
      </c>
      <c r="D116">
        <v>10</v>
      </c>
      <c r="E116">
        <v>3.3079940985385199</v>
      </c>
      <c r="I116"/>
      <c r="J116"/>
      <c r="K116">
        <f>INDEX(Tabelle2!E:E,SUMPRODUCT((Tabelle2!$A$1:$A$1716=B116)*(Tabelle2!$C$1:$C$1716&lt;=A116)*(Tabelle2!$D$1:$D$1716&gt;=A116)*ROW(Tabelle2!$1:$1716)))</f>
        <v>302298</v>
      </c>
      <c r="L116">
        <f t="shared" si="1"/>
        <v>3.3079940985385279</v>
      </c>
    </row>
    <row r="117" spans="1:12" x14ac:dyDescent="0.25">
      <c r="A117" s="1">
        <v>45312</v>
      </c>
      <c r="B117">
        <v>5978</v>
      </c>
      <c r="C117" t="s">
        <v>126</v>
      </c>
      <c r="D117">
        <v>56</v>
      </c>
      <c r="E117">
        <v>14.247079984633499</v>
      </c>
      <c r="I117"/>
      <c r="J117"/>
      <c r="K117">
        <f>INDEX(Tabelle2!E:E,SUMPRODUCT((Tabelle2!$A$1:$A$1716=B117)*(Tabelle2!$C$1:$C$1716&lt;=A117)*(Tabelle2!$D$1:$D$1716&gt;=A117)*ROW(Tabelle2!$1:$1716)))</f>
        <v>393063</v>
      </c>
      <c r="L117">
        <f t="shared" si="1"/>
        <v>14.247079984633507</v>
      </c>
    </row>
    <row r="118" spans="1:12" x14ac:dyDescent="0.25">
      <c r="A118" s="1">
        <v>45312</v>
      </c>
      <c r="B118">
        <v>6411</v>
      </c>
      <c r="C118" t="s">
        <v>128</v>
      </c>
      <c r="D118">
        <v>16</v>
      </c>
      <c r="E118">
        <v>10.0231158108387</v>
      </c>
      <c r="I118"/>
      <c r="J118"/>
      <c r="K118">
        <f>INDEX(Tabelle2!E:E,SUMPRODUCT((Tabelle2!$A$1:$A$1716=B118)*(Tabelle2!$C$1:$C$1716&lt;=A118)*(Tabelle2!$D$1:$D$1716&gt;=A118)*ROW(Tabelle2!$1:$1716)))</f>
        <v>159631</v>
      </c>
      <c r="L118">
        <f t="shared" si="1"/>
        <v>10.023115810838746</v>
      </c>
    </row>
    <row r="119" spans="1:12" x14ac:dyDescent="0.25">
      <c r="A119" s="1">
        <v>45312</v>
      </c>
      <c r="B119">
        <v>6412</v>
      </c>
      <c r="C119" t="s">
        <v>129</v>
      </c>
      <c r="D119">
        <v>77</v>
      </c>
      <c r="E119">
        <v>10.1419343961729</v>
      </c>
      <c r="I119"/>
      <c r="J119"/>
      <c r="K119">
        <f>INDEX(Tabelle2!E:E,SUMPRODUCT((Tabelle2!$A$1:$A$1716=B119)*(Tabelle2!$C$1:$C$1716&lt;=A119)*(Tabelle2!$D$1:$D$1716&gt;=A119)*ROW(Tabelle2!$1:$1716)))</f>
        <v>759224</v>
      </c>
      <c r="L119">
        <f t="shared" si="1"/>
        <v>10.141934396172935</v>
      </c>
    </row>
    <row r="120" spans="1:12" x14ac:dyDescent="0.25">
      <c r="A120" s="1">
        <v>45312</v>
      </c>
      <c r="B120">
        <v>6413</v>
      </c>
      <c r="C120" t="s">
        <v>130</v>
      </c>
      <c r="D120">
        <v>13</v>
      </c>
      <c r="E120">
        <v>9.9013671503103708</v>
      </c>
      <c r="I120"/>
      <c r="J120"/>
      <c r="K120">
        <f>INDEX(Tabelle2!E:E,SUMPRODUCT((Tabelle2!$A$1:$A$1716=B120)*(Tabelle2!$C$1:$C$1716&lt;=A120)*(Tabelle2!$D$1:$D$1716&gt;=A120)*ROW(Tabelle2!$1:$1716)))</f>
        <v>131295</v>
      </c>
      <c r="L120">
        <f t="shared" si="1"/>
        <v>9.9013671503103708</v>
      </c>
    </row>
    <row r="121" spans="1:12" x14ac:dyDescent="0.25">
      <c r="A121" s="1">
        <v>45312</v>
      </c>
      <c r="B121">
        <v>6414</v>
      </c>
      <c r="C121" t="s">
        <v>131</v>
      </c>
      <c r="D121">
        <v>19</v>
      </c>
      <c r="E121">
        <v>6.8112564975802101</v>
      </c>
      <c r="I121"/>
      <c r="J121"/>
      <c r="K121">
        <f>INDEX(Tabelle2!E:E,SUMPRODUCT((Tabelle2!$A$1:$A$1716=B121)*(Tabelle2!$C$1:$C$1716&lt;=A121)*(Tabelle2!$D$1:$D$1716&gt;=A121)*ROW(Tabelle2!$1:$1716)))</f>
        <v>278950</v>
      </c>
      <c r="L121">
        <f t="shared" si="1"/>
        <v>6.8112564975802119</v>
      </c>
    </row>
    <row r="122" spans="1:12" x14ac:dyDescent="0.25">
      <c r="A122" s="1">
        <v>45312</v>
      </c>
      <c r="B122">
        <v>6431</v>
      </c>
      <c r="C122" t="s">
        <v>461</v>
      </c>
      <c r="D122">
        <v>15</v>
      </c>
      <c r="E122">
        <v>5.5316669493963104</v>
      </c>
      <c r="I122"/>
      <c r="J122"/>
      <c r="K122">
        <f>INDEX(Tabelle2!E:E,SUMPRODUCT((Tabelle2!$A$1:$A$1716=B122)*(Tabelle2!$C$1:$C$1716&lt;=A122)*(Tabelle2!$D$1:$D$1716&gt;=A122)*ROW(Tabelle2!$1:$1716)))</f>
        <v>271166</v>
      </c>
      <c r="L122">
        <f t="shared" si="1"/>
        <v>5.5316669493963104</v>
      </c>
    </row>
    <row r="123" spans="1:12" x14ac:dyDescent="0.25">
      <c r="A123" s="1">
        <v>45312</v>
      </c>
      <c r="B123">
        <v>6432</v>
      </c>
      <c r="C123" t="s">
        <v>133</v>
      </c>
      <c r="D123">
        <v>25</v>
      </c>
      <c r="E123">
        <v>8.42034355001684</v>
      </c>
      <c r="I123"/>
      <c r="J123"/>
      <c r="K123">
        <f>INDEX(Tabelle2!E:E,SUMPRODUCT((Tabelle2!$A$1:$A$1716=B123)*(Tabelle2!$C$1:$C$1716&lt;=A123)*(Tabelle2!$D$1:$D$1716&gt;=A123)*ROW(Tabelle2!$1:$1716)))</f>
        <v>296900</v>
      </c>
      <c r="L123">
        <f t="shared" si="1"/>
        <v>8.42034355001684</v>
      </c>
    </row>
    <row r="124" spans="1:12" x14ac:dyDescent="0.25">
      <c r="A124" s="1">
        <v>45312</v>
      </c>
      <c r="B124">
        <v>6433</v>
      </c>
      <c r="C124" t="s">
        <v>462</v>
      </c>
      <c r="D124">
        <v>18</v>
      </c>
      <c r="E124">
        <v>6.5144929372039</v>
      </c>
      <c r="I124"/>
      <c r="J124"/>
      <c r="K124">
        <f>INDEX(Tabelle2!E:E,SUMPRODUCT((Tabelle2!$A$1:$A$1716=B124)*(Tabelle2!$C$1:$C$1716&lt;=A124)*(Tabelle2!$D$1:$D$1716&gt;=A124)*ROW(Tabelle2!$1:$1716)))</f>
        <v>276307</v>
      </c>
      <c r="L124">
        <f t="shared" si="1"/>
        <v>6.5144929372039071</v>
      </c>
    </row>
    <row r="125" spans="1:12" x14ac:dyDescent="0.25">
      <c r="A125" s="1">
        <v>45312</v>
      </c>
      <c r="B125">
        <v>6434</v>
      </c>
      <c r="C125" t="s">
        <v>135</v>
      </c>
      <c r="D125">
        <v>32</v>
      </c>
      <c r="E125">
        <v>13.499774300648401</v>
      </c>
      <c r="I125"/>
      <c r="J125"/>
      <c r="K125">
        <f>INDEX(Tabelle2!E:E,SUMPRODUCT((Tabelle2!$A$1:$A$1716=B125)*(Tabelle2!$C$1:$C$1716&lt;=A125)*(Tabelle2!$D$1:$D$1716&gt;=A125)*ROW(Tabelle2!$1:$1716)))</f>
        <v>237041</v>
      </c>
      <c r="L125">
        <f t="shared" si="1"/>
        <v>13.499774300648411</v>
      </c>
    </row>
    <row r="126" spans="1:12" x14ac:dyDescent="0.25">
      <c r="A126" s="1">
        <v>45312</v>
      </c>
      <c r="B126">
        <v>6435</v>
      </c>
      <c r="C126" t="s">
        <v>136</v>
      </c>
      <c r="D126">
        <v>36</v>
      </c>
      <c r="E126">
        <v>8.5012929049626305</v>
      </c>
      <c r="I126"/>
      <c r="J126"/>
      <c r="K126">
        <f>INDEX(Tabelle2!E:E,SUMPRODUCT((Tabelle2!$A$1:$A$1716=B126)*(Tabelle2!$C$1:$C$1716&lt;=A126)*(Tabelle2!$D$1:$D$1716&gt;=A126)*ROW(Tabelle2!$1:$1716)))</f>
        <v>423465</v>
      </c>
      <c r="L126">
        <f t="shared" si="1"/>
        <v>8.5012929049626305</v>
      </c>
    </row>
    <row r="127" spans="1:12" x14ac:dyDescent="0.25">
      <c r="A127" s="1">
        <v>45312</v>
      </c>
      <c r="B127">
        <v>6436</v>
      </c>
      <c r="C127" t="s">
        <v>137</v>
      </c>
      <c r="D127">
        <v>28</v>
      </c>
      <c r="E127">
        <v>11.7019676022668</v>
      </c>
      <c r="I127"/>
      <c r="J127"/>
      <c r="K127">
        <f>INDEX(Tabelle2!E:E,SUMPRODUCT((Tabelle2!$A$1:$A$1716=B127)*(Tabelle2!$C$1:$C$1716&lt;=A127)*(Tabelle2!$D$1:$D$1716&gt;=A127)*ROW(Tabelle2!$1:$1716)))</f>
        <v>239276</v>
      </c>
      <c r="L127">
        <f t="shared" si="1"/>
        <v>11.701967602266839</v>
      </c>
    </row>
    <row r="128" spans="1:12" x14ac:dyDescent="0.25">
      <c r="A128" s="1">
        <v>45312</v>
      </c>
      <c r="B128">
        <v>6437</v>
      </c>
      <c r="C128" t="s">
        <v>138</v>
      </c>
      <c r="D128">
        <v>9</v>
      </c>
      <c r="E128">
        <v>9.2828483904572305</v>
      </c>
      <c r="I128"/>
      <c r="J128"/>
      <c r="K128">
        <f>INDEX(Tabelle2!E:E,SUMPRODUCT((Tabelle2!$A$1:$A$1716=B128)*(Tabelle2!$C$1:$C$1716&lt;=A128)*(Tabelle2!$D$1:$D$1716&gt;=A128)*ROW(Tabelle2!$1:$1716)))</f>
        <v>96953</v>
      </c>
      <c r="L128">
        <f t="shared" si="1"/>
        <v>9.2828483904572323</v>
      </c>
    </row>
    <row r="129" spans="1:12" x14ac:dyDescent="0.25">
      <c r="A129" s="1">
        <v>45312</v>
      </c>
      <c r="B129">
        <v>6438</v>
      </c>
      <c r="C129" t="s">
        <v>139</v>
      </c>
      <c r="D129">
        <v>29</v>
      </c>
      <c r="E129">
        <v>8.1126596655346201</v>
      </c>
      <c r="I129"/>
      <c r="J129"/>
      <c r="K129">
        <f>INDEX(Tabelle2!E:E,SUMPRODUCT((Tabelle2!$A$1:$A$1716=B129)*(Tabelle2!$C$1:$C$1716&lt;=A129)*(Tabelle2!$D$1:$D$1716&gt;=A129)*ROW(Tabelle2!$1:$1716)))</f>
        <v>357466</v>
      </c>
      <c r="L129">
        <f t="shared" si="1"/>
        <v>8.1126596655346255</v>
      </c>
    </row>
    <row r="130" spans="1:12" x14ac:dyDescent="0.25">
      <c r="A130" s="1">
        <v>45312</v>
      </c>
      <c r="B130">
        <v>6439</v>
      </c>
      <c r="C130" t="s">
        <v>140</v>
      </c>
      <c r="D130">
        <v>10</v>
      </c>
      <c r="E130">
        <v>5.3410529351756404</v>
      </c>
      <c r="I130"/>
      <c r="J130"/>
      <c r="K130">
        <f>INDEX(Tabelle2!E:E,SUMPRODUCT((Tabelle2!$A$1:$A$1716=B130)*(Tabelle2!$C$1:$C$1716&lt;=A130)*(Tabelle2!$D$1:$D$1716&gt;=A130)*ROW(Tabelle2!$1:$1716)))</f>
        <v>187229</v>
      </c>
      <c r="L130">
        <f t="shared" si="1"/>
        <v>5.3410529351756404</v>
      </c>
    </row>
    <row r="131" spans="1:12" x14ac:dyDescent="0.25">
      <c r="A131" s="1">
        <v>45312</v>
      </c>
      <c r="B131">
        <v>6440</v>
      </c>
      <c r="C131" t="s">
        <v>141</v>
      </c>
      <c r="D131">
        <v>16</v>
      </c>
      <c r="E131">
        <v>5.1337831810845698</v>
      </c>
      <c r="I131"/>
      <c r="J131"/>
      <c r="K131">
        <f>INDEX(Tabelle2!E:E,SUMPRODUCT((Tabelle2!$A$1:$A$1716=B131)*(Tabelle2!$C$1:$C$1716&lt;=A131)*(Tabelle2!$D$1:$D$1716&gt;=A131)*ROW(Tabelle2!$1:$1716)))</f>
        <v>311661</v>
      </c>
      <c r="L131">
        <f t="shared" ref="L131:L194" si="2">D131/K131*100000</f>
        <v>5.133783181084576</v>
      </c>
    </row>
    <row r="132" spans="1:12" x14ac:dyDescent="0.25">
      <c r="A132" s="1">
        <v>45312</v>
      </c>
      <c r="B132">
        <v>6531</v>
      </c>
      <c r="C132" t="s">
        <v>463</v>
      </c>
      <c r="D132">
        <v>8</v>
      </c>
      <c r="E132">
        <v>2.93175604857919</v>
      </c>
      <c r="I132"/>
      <c r="J132"/>
      <c r="K132">
        <f>INDEX(Tabelle2!E:E,SUMPRODUCT((Tabelle2!$A$1:$A$1716=B132)*(Tabelle2!$C$1:$C$1716&lt;=A132)*(Tabelle2!$D$1:$D$1716&gt;=A132)*ROW(Tabelle2!$1:$1716)))</f>
        <v>272874</v>
      </c>
      <c r="L132">
        <f t="shared" si="2"/>
        <v>2.931756048579198</v>
      </c>
    </row>
    <row r="133" spans="1:12" x14ac:dyDescent="0.25">
      <c r="A133" s="1">
        <v>45312</v>
      </c>
      <c r="B133">
        <v>6532</v>
      </c>
      <c r="C133" t="s">
        <v>143</v>
      </c>
      <c r="D133">
        <v>5</v>
      </c>
      <c r="E133">
        <v>1.9734453197770701</v>
      </c>
      <c r="I133"/>
      <c r="J133"/>
      <c r="K133">
        <f>INDEX(Tabelle2!E:E,SUMPRODUCT((Tabelle2!$A$1:$A$1716=B133)*(Tabelle2!$C$1:$C$1716&lt;=A133)*(Tabelle2!$D$1:$D$1716&gt;=A133)*ROW(Tabelle2!$1:$1716)))</f>
        <v>253364</v>
      </c>
      <c r="L133">
        <f t="shared" si="2"/>
        <v>1.9734453197770796</v>
      </c>
    </row>
    <row r="134" spans="1:12" x14ac:dyDescent="0.25">
      <c r="A134" s="1">
        <v>45312</v>
      </c>
      <c r="B134">
        <v>6533</v>
      </c>
      <c r="C134" t="s">
        <v>144</v>
      </c>
      <c r="D134">
        <v>8</v>
      </c>
      <c r="E134">
        <v>4.63072835568624</v>
      </c>
      <c r="I134"/>
      <c r="J134"/>
      <c r="K134">
        <f>INDEX(Tabelle2!E:E,SUMPRODUCT((Tabelle2!$A$1:$A$1716=B134)*(Tabelle2!$C$1:$C$1716&lt;=A134)*(Tabelle2!$D$1:$D$1716&gt;=A134)*ROW(Tabelle2!$1:$1716)))</f>
        <v>172759</v>
      </c>
      <c r="L134">
        <f t="shared" si="2"/>
        <v>4.6307283556862444</v>
      </c>
    </row>
    <row r="135" spans="1:12" x14ac:dyDescent="0.25">
      <c r="A135" s="1">
        <v>45312</v>
      </c>
      <c r="B135">
        <v>6534</v>
      </c>
      <c r="C135" t="s">
        <v>145</v>
      </c>
      <c r="D135">
        <v>11</v>
      </c>
      <c r="E135">
        <v>4.4697822403361203</v>
      </c>
      <c r="I135"/>
      <c r="J135"/>
      <c r="K135">
        <f>INDEX(Tabelle2!E:E,SUMPRODUCT((Tabelle2!$A$1:$A$1716=B135)*(Tabelle2!$C$1:$C$1716&lt;=A135)*(Tabelle2!$D$1:$D$1716&gt;=A135)*ROW(Tabelle2!$1:$1716)))</f>
        <v>246097</v>
      </c>
      <c r="L135">
        <f t="shared" si="2"/>
        <v>4.4697822403361274</v>
      </c>
    </row>
    <row r="136" spans="1:12" x14ac:dyDescent="0.25">
      <c r="A136" s="1">
        <v>45312</v>
      </c>
      <c r="B136">
        <v>6535</v>
      </c>
      <c r="C136" t="s">
        <v>146</v>
      </c>
      <c r="D136">
        <v>4</v>
      </c>
      <c r="E136">
        <v>3.78533372448448</v>
      </c>
      <c r="I136"/>
      <c r="J136"/>
      <c r="K136">
        <f>INDEX(Tabelle2!E:E,SUMPRODUCT((Tabelle2!$A$1:$A$1716=B136)*(Tabelle2!$C$1:$C$1716&lt;=A136)*(Tabelle2!$D$1:$D$1716&gt;=A136)*ROW(Tabelle2!$1:$1716)))</f>
        <v>105671</v>
      </c>
      <c r="L136">
        <f t="shared" si="2"/>
        <v>3.7853337244844849</v>
      </c>
    </row>
    <row r="137" spans="1:12" x14ac:dyDescent="0.25">
      <c r="A137" s="1">
        <v>45312</v>
      </c>
      <c r="B137">
        <v>6611</v>
      </c>
      <c r="C137" t="s">
        <v>147</v>
      </c>
      <c r="D137">
        <v>16</v>
      </c>
      <c r="E137">
        <v>7.9837929004121602</v>
      </c>
      <c r="I137"/>
      <c r="J137"/>
      <c r="K137">
        <f>INDEX(Tabelle2!E:E,SUMPRODUCT((Tabelle2!$A$1:$A$1716=B137)*(Tabelle2!$C$1:$C$1716&lt;=A137)*(Tabelle2!$D$1:$D$1716&gt;=A137)*ROW(Tabelle2!$1:$1716)))</f>
        <v>200406</v>
      </c>
      <c r="L137">
        <f t="shared" si="2"/>
        <v>7.9837929004121637</v>
      </c>
    </row>
    <row r="138" spans="1:12" x14ac:dyDescent="0.25">
      <c r="A138" s="1">
        <v>45312</v>
      </c>
      <c r="B138">
        <v>6631</v>
      </c>
      <c r="C138" t="s">
        <v>148</v>
      </c>
      <c r="D138">
        <v>12</v>
      </c>
      <c r="E138">
        <v>5.3673984219848601</v>
      </c>
      <c r="I138"/>
      <c r="J138"/>
      <c r="K138">
        <f>INDEX(Tabelle2!E:E,SUMPRODUCT((Tabelle2!$A$1:$A$1716=B138)*(Tabelle2!$C$1:$C$1716&lt;=A138)*(Tabelle2!$D$1:$D$1716&gt;=A138)*ROW(Tabelle2!$1:$1716)))</f>
        <v>223572</v>
      </c>
      <c r="L138">
        <f t="shared" si="2"/>
        <v>5.3673984219848636</v>
      </c>
    </row>
    <row r="139" spans="1:12" x14ac:dyDescent="0.25">
      <c r="A139" s="1">
        <v>45312</v>
      </c>
      <c r="B139">
        <v>6632</v>
      </c>
      <c r="C139" t="s">
        <v>149</v>
      </c>
      <c r="D139">
        <v>7</v>
      </c>
      <c r="E139">
        <v>5.8254204705275301</v>
      </c>
      <c r="I139"/>
      <c r="J139"/>
      <c r="K139">
        <f>INDEX(Tabelle2!E:E,SUMPRODUCT((Tabelle2!$A$1:$A$1716=B139)*(Tabelle2!$C$1:$C$1716&lt;=A139)*(Tabelle2!$D$1:$D$1716&gt;=A139)*ROW(Tabelle2!$1:$1716)))</f>
        <v>120163</v>
      </c>
      <c r="L139">
        <f t="shared" si="2"/>
        <v>5.8254204705275336</v>
      </c>
    </row>
    <row r="140" spans="1:12" x14ac:dyDescent="0.25">
      <c r="A140" s="1">
        <v>45312</v>
      </c>
      <c r="B140">
        <v>6633</v>
      </c>
      <c r="C140" t="s">
        <v>150</v>
      </c>
      <c r="D140">
        <v>15</v>
      </c>
      <c r="E140">
        <v>6.3219650353187102</v>
      </c>
      <c r="I140"/>
      <c r="J140"/>
      <c r="K140">
        <f>INDEX(Tabelle2!E:E,SUMPRODUCT((Tabelle2!$A$1:$A$1716=B140)*(Tabelle2!$C$1:$C$1716&lt;=A140)*(Tabelle2!$D$1:$D$1716&gt;=A140)*ROW(Tabelle2!$1:$1716)))</f>
        <v>237268</v>
      </c>
      <c r="L140">
        <f t="shared" si="2"/>
        <v>6.3219650353187111</v>
      </c>
    </row>
    <row r="141" spans="1:12" x14ac:dyDescent="0.25">
      <c r="A141" s="1">
        <v>45312</v>
      </c>
      <c r="B141">
        <v>6634</v>
      </c>
      <c r="C141" t="s">
        <v>151</v>
      </c>
      <c r="D141">
        <v>2</v>
      </c>
      <c r="E141">
        <v>1.11079021615977</v>
      </c>
      <c r="I141"/>
      <c r="J141"/>
      <c r="K141">
        <f>INDEX(Tabelle2!E:E,SUMPRODUCT((Tabelle2!$A$1:$A$1716=B141)*(Tabelle2!$C$1:$C$1716&lt;=A141)*(Tabelle2!$D$1:$D$1716&gt;=A141)*ROW(Tabelle2!$1:$1716)))</f>
        <v>180052</v>
      </c>
      <c r="L141">
        <f t="shared" si="2"/>
        <v>1.110790216159776</v>
      </c>
    </row>
    <row r="142" spans="1:12" x14ac:dyDescent="0.25">
      <c r="A142" s="1">
        <v>45312</v>
      </c>
      <c r="B142">
        <v>6635</v>
      </c>
      <c r="C142" t="s">
        <v>152</v>
      </c>
      <c r="D142">
        <v>18</v>
      </c>
      <c r="E142">
        <v>11.500642119184899</v>
      </c>
      <c r="I142"/>
      <c r="J142"/>
      <c r="K142">
        <f>INDEX(Tabelle2!E:E,SUMPRODUCT((Tabelle2!$A$1:$A$1716=B142)*(Tabelle2!$C$1:$C$1716&lt;=A142)*(Tabelle2!$D$1:$D$1716&gt;=A142)*ROW(Tabelle2!$1:$1716)))</f>
        <v>156513</v>
      </c>
      <c r="L142">
        <f t="shared" si="2"/>
        <v>11.500642119184988</v>
      </c>
    </row>
    <row r="143" spans="1:12" x14ac:dyDescent="0.25">
      <c r="A143" s="1">
        <v>45312</v>
      </c>
      <c r="B143">
        <v>6636</v>
      </c>
      <c r="C143" t="s">
        <v>464</v>
      </c>
      <c r="D143">
        <v>3</v>
      </c>
      <c r="E143">
        <v>3.0086046091822598</v>
      </c>
      <c r="I143"/>
      <c r="J143"/>
      <c r="K143">
        <f>INDEX(Tabelle2!E:E,SUMPRODUCT((Tabelle2!$A$1:$A$1716=B143)*(Tabelle2!$C$1:$C$1716&lt;=A143)*(Tabelle2!$D$1:$D$1716&gt;=A143)*ROW(Tabelle2!$1:$1716)))</f>
        <v>99714</v>
      </c>
      <c r="L143">
        <f t="shared" si="2"/>
        <v>3.0086046091822611</v>
      </c>
    </row>
    <row r="144" spans="1:12" x14ac:dyDescent="0.25">
      <c r="A144" s="1">
        <v>45312</v>
      </c>
      <c r="B144">
        <v>7111</v>
      </c>
      <c r="C144" t="s">
        <v>155</v>
      </c>
      <c r="D144">
        <v>6</v>
      </c>
      <c r="E144">
        <v>5.2799239690948401</v>
      </c>
      <c r="I144"/>
      <c r="J144"/>
      <c r="K144">
        <f>INDEX(Tabelle2!E:E,SUMPRODUCT((Tabelle2!$A$1:$A$1716=B144)*(Tabelle2!$C$1:$C$1716&lt;=A144)*(Tabelle2!$D$1:$D$1716&gt;=A144)*ROW(Tabelle2!$1:$1716)))</f>
        <v>113638</v>
      </c>
      <c r="L144">
        <f t="shared" si="2"/>
        <v>5.2799239690948454</v>
      </c>
    </row>
    <row r="145" spans="1:12" x14ac:dyDescent="0.25">
      <c r="A145" s="1">
        <v>45312</v>
      </c>
      <c r="B145">
        <v>7131</v>
      </c>
      <c r="C145" t="s">
        <v>156</v>
      </c>
      <c r="D145">
        <v>8</v>
      </c>
      <c r="E145">
        <v>6.2428792158943702</v>
      </c>
      <c r="I145"/>
      <c r="J145"/>
      <c r="K145">
        <f>INDEX(Tabelle2!E:E,SUMPRODUCT((Tabelle2!$A$1:$A$1716=B145)*(Tabelle2!$C$1:$C$1716&lt;=A145)*(Tabelle2!$D$1:$D$1716&gt;=A145)*ROW(Tabelle2!$1:$1716)))</f>
        <v>128146</v>
      </c>
      <c r="L145">
        <f t="shared" si="2"/>
        <v>6.2428792158943702</v>
      </c>
    </row>
    <row r="146" spans="1:12" x14ac:dyDescent="0.25">
      <c r="A146" s="1">
        <v>45312</v>
      </c>
      <c r="B146">
        <v>7132</v>
      </c>
      <c r="C146" t="s">
        <v>157</v>
      </c>
      <c r="D146">
        <v>4</v>
      </c>
      <c r="E146">
        <v>3.0945141999520298</v>
      </c>
      <c r="I146"/>
      <c r="J146"/>
      <c r="K146">
        <f>INDEX(Tabelle2!E:E,SUMPRODUCT((Tabelle2!$A$1:$A$1716=B146)*(Tabelle2!$C$1:$C$1716&lt;=A146)*(Tabelle2!$D$1:$D$1716&gt;=A146)*ROW(Tabelle2!$1:$1716)))</f>
        <v>129261</v>
      </c>
      <c r="L146">
        <f t="shared" si="2"/>
        <v>3.0945141999520351</v>
      </c>
    </row>
    <row r="147" spans="1:12" x14ac:dyDescent="0.25">
      <c r="A147" s="1">
        <v>45312</v>
      </c>
      <c r="B147">
        <v>7133</v>
      </c>
      <c r="C147" t="s">
        <v>158</v>
      </c>
      <c r="D147">
        <v>6</v>
      </c>
      <c r="E147">
        <v>3.76406820491587</v>
      </c>
      <c r="I147"/>
      <c r="J147"/>
      <c r="K147">
        <f>INDEX(Tabelle2!E:E,SUMPRODUCT((Tabelle2!$A$1:$A$1716=B147)*(Tabelle2!$C$1:$C$1716&lt;=A147)*(Tabelle2!$D$1:$D$1716&gt;=A147)*ROW(Tabelle2!$1:$1716)))</f>
        <v>159402</v>
      </c>
      <c r="L147">
        <f t="shared" si="2"/>
        <v>3.7640682049158736</v>
      </c>
    </row>
    <row r="148" spans="1:12" x14ac:dyDescent="0.25">
      <c r="A148" s="1">
        <v>45312</v>
      </c>
      <c r="B148">
        <v>7134</v>
      </c>
      <c r="C148" t="s">
        <v>159</v>
      </c>
      <c r="D148">
        <v>3</v>
      </c>
      <c r="E148">
        <v>3.71062103427376</v>
      </c>
      <c r="I148"/>
      <c r="J148"/>
      <c r="K148">
        <f>INDEX(Tabelle2!E:E,SUMPRODUCT((Tabelle2!$A$1:$A$1716=B148)*(Tabelle2!$C$1:$C$1716&lt;=A148)*(Tabelle2!$D$1:$D$1716&gt;=A148)*ROW(Tabelle2!$1:$1716)))</f>
        <v>80849</v>
      </c>
      <c r="L148">
        <f t="shared" si="2"/>
        <v>3.7106210342737693</v>
      </c>
    </row>
    <row r="149" spans="1:12" x14ac:dyDescent="0.25">
      <c r="A149" s="1">
        <v>45312</v>
      </c>
      <c r="B149">
        <v>7135</v>
      </c>
      <c r="C149" t="s">
        <v>160</v>
      </c>
      <c r="D149">
        <v>3</v>
      </c>
      <c r="E149">
        <v>4.8594800356361798</v>
      </c>
      <c r="I149"/>
      <c r="J149"/>
      <c r="K149">
        <f>INDEX(Tabelle2!E:E,SUMPRODUCT((Tabelle2!$A$1:$A$1716=B149)*(Tabelle2!$C$1:$C$1716&lt;=A149)*(Tabelle2!$D$1:$D$1716&gt;=A149)*ROW(Tabelle2!$1:$1716)))</f>
        <v>61735</v>
      </c>
      <c r="L149">
        <f t="shared" si="2"/>
        <v>4.8594800356361869</v>
      </c>
    </row>
    <row r="150" spans="1:12" x14ac:dyDescent="0.25">
      <c r="A150" s="1">
        <v>45312</v>
      </c>
      <c r="B150">
        <v>7137</v>
      </c>
      <c r="C150" t="s">
        <v>161</v>
      </c>
      <c r="D150">
        <v>19</v>
      </c>
      <c r="E150">
        <v>8.8189151806020991</v>
      </c>
      <c r="I150"/>
      <c r="J150"/>
      <c r="K150">
        <f>INDEX(Tabelle2!E:E,SUMPRODUCT((Tabelle2!$A$1:$A$1716=B150)*(Tabelle2!$C$1:$C$1716&lt;=A150)*(Tabelle2!$D$1:$D$1716&gt;=A150)*ROW(Tabelle2!$1:$1716)))</f>
        <v>215446</v>
      </c>
      <c r="L150">
        <f t="shared" si="2"/>
        <v>8.8189151806020991</v>
      </c>
    </row>
    <row r="151" spans="1:12" x14ac:dyDescent="0.25">
      <c r="A151" s="1">
        <v>45312</v>
      </c>
      <c r="B151">
        <v>7138</v>
      </c>
      <c r="C151" t="s">
        <v>162</v>
      </c>
      <c r="D151">
        <v>15</v>
      </c>
      <c r="E151">
        <v>8.1349313954118898</v>
      </c>
      <c r="I151"/>
      <c r="J151"/>
      <c r="K151">
        <f>INDEX(Tabelle2!E:E,SUMPRODUCT((Tabelle2!$A$1:$A$1716=B151)*(Tabelle2!$C$1:$C$1716&lt;=A151)*(Tabelle2!$D$1:$D$1716&gt;=A151)*ROW(Tabelle2!$1:$1716)))</f>
        <v>184390</v>
      </c>
      <c r="L151">
        <f t="shared" si="2"/>
        <v>8.1349313954118987</v>
      </c>
    </row>
    <row r="152" spans="1:12" x14ac:dyDescent="0.25">
      <c r="A152" s="1">
        <v>45312</v>
      </c>
      <c r="B152">
        <v>7140</v>
      </c>
      <c r="C152" t="s">
        <v>465</v>
      </c>
      <c r="D152">
        <v>9</v>
      </c>
      <c r="E152">
        <v>8.6732776316169797</v>
      </c>
      <c r="I152"/>
      <c r="J152"/>
      <c r="K152">
        <f>INDEX(Tabelle2!E:E,SUMPRODUCT((Tabelle2!$A$1:$A$1716=B152)*(Tabelle2!$C$1:$C$1716&lt;=A152)*(Tabelle2!$D$1:$D$1716&gt;=A152)*ROW(Tabelle2!$1:$1716)))</f>
        <v>103767</v>
      </c>
      <c r="L152">
        <f t="shared" si="2"/>
        <v>8.6732776316169886</v>
      </c>
    </row>
    <row r="153" spans="1:12" x14ac:dyDescent="0.25">
      <c r="A153" s="1">
        <v>45312</v>
      </c>
      <c r="B153">
        <v>7141</v>
      </c>
      <c r="C153" t="s">
        <v>164</v>
      </c>
      <c r="D153">
        <v>6</v>
      </c>
      <c r="E153">
        <v>4.8890192627358902</v>
      </c>
      <c r="I153"/>
      <c r="J153"/>
      <c r="K153">
        <f>INDEX(Tabelle2!E:E,SUMPRODUCT((Tabelle2!$A$1:$A$1716=B153)*(Tabelle2!$C$1:$C$1716&lt;=A153)*(Tabelle2!$D$1:$D$1716&gt;=A153)*ROW(Tabelle2!$1:$1716)))</f>
        <v>122724</v>
      </c>
      <c r="L153">
        <f t="shared" si="2"/>
        <v>4.8890192627358946</v>
      </c>
    </row>
    <row r="154" spans="1:12" x14ac:dyDescent="0.25">
      <c r="A154" s="1">
        <v>45312</v>
      </c>
      <c r="B154">
        <v>7143</v>
      </c>
      <c r="C154" t="s">
        <v>165</v>
      </c>
      <c r="D154">
        <v>13</v>
      </c>
      <c r="E154">
        <v>6.37783261623599</v>
      </c>
      <c r="I154"/>
      <c r="J154"/>
      <c r="K154">
        <f>INDEX(Tabelle2!E:E,SUMPRODUCT((Tabelle2!$A$1:$A$1716=B154)*(Tabelle2!$C$1:$C$1716&lt;=A154)*(Tabelle2!$D$1:$D$1716&gt;=A154)*ROW(Tabelle2!$1:$1716)))</f>
        <v>203831</v>
      </c>
      <c r="L154">
        <f t="shared" si="2"/>
        <v>6.3778326162359988</v>
      </c>
    </row>
    <row r="155" spans="1:12" x14ac:dyDescent="0.25">
      <c r="A155" s="1">
        <v>45312</v>
      </c>
      <c r="B155">
        <v>7211</v>
      </c>
      <c r="C155" t="s">
        <v>166</v>
      </c>
      <c r="D155">
        <v>6</v>
      </c>
      <c r="E155">
        <v>5.4264266980193501</v>
      </c>
      <c r="I155"/>
      <c r="J155"/>
      <c r="K155">
        <f>INDEX(Tabelle2!E:E,SUMPRODUCT((Tabelle2!$A$1:$A$1716=B155)*(Tabelle2!$C$1:$C$1716&lt;=A155)*(Tabelle2!$D$1:$D$1716&gt;=A155)*ROW(Tabelle2!$1:$1716)))</f>
        <v>110570</v>
      </c>
      <c r="L155">
        <f t="shared" si="2"/>
        <v>5.4264266980193545</v>
      </c>
    </row>
    <row r="156" spans="1:12" x14ac:dyDescent="0.25">
      <c r="A156" s="1">
        <v>45312</v>
      </c>
      <c r="B156">
        <v>7231</v>
      </c>
      <c r="C156" t="s">
        <v>167</v>
      </c>
      <c r="D156">
        <v>13</v>
      </c>
      <c r="E156">
        <v>11.4847076700178</v>
      </c>
      <c r="I156"/>
      <c r="J156"/>
      <c r="K156">
        <f>INDEX(Tabelle2!E:E,SUMPRODUCT((Tabelle2!$A$1:$A$1716=B156)*(Tabelle2!$C$1:$C$1716&lt;=A156)*(Tabelle2!$D$1:$D$1716&gt;=A156)*ROW(Tabelle2!$1:$1716)))</f>
        <v>113194</v>
      </c>
      <c r="L156">
        <f t="shared" si="2"/>
        <v>11.484707670017846</v>
      </c>
    </row>
    <row r="157" spans="1:12" x14ac:dyDescent="0.25">
      <c r="A157" s="1">
        <v>45312</v>
      </c>
      <c r="B157">
        <v>7232</v>
      </c>
      <c r="C157" t="s">
        <v>466</v>
      </c>
      <c r="D157">
        <v>3</v>
      </c>
      <c r="E157">
        <v>2.9715032835111201</v>
      </c>
      <c r="I157"/>
      <c r="J157"/>
      <c r="K157">
        <f>INDEX(Tabelle2!E:E,SUMPRODUCT((Tabelle2!$A$1:$A$1716=B157)*(Tabelle2!$C$1:$C$1716&lt;=A157)*(Tabelle2!$D$1:$D$1716&gt;=A157)*ROW(Tabelle2!$1:$1716)))</f>
        <v>100959</v>
      </c>
      <c r="L157">
        <f t="shared" si="2"/>
        <v>2.9715032835111286</v>
      </c>
    </row>
    <row r="158" spans="1:12" x14ac:dyDescent="0.25">
      <c r="A158" s="1">
        <v>45312</v>
      </c>
      <c r="B158">
        <v>7233</v>
      </c>
      <c r="C158" t="s">
        <v>169</v>
      </c>
      <c r="D158">
        <v>9</v>
      </c>
      <c r="E158">
        <v>14.7826943924312</v>
      </c>
      <c r="I158"/>
      <c r="J158"/>
      <c r="K158">
        <f>INDEX(Tabelle2!E:E,SUMPRODUCT((Tabelle2!$A$1:$A$1716=B158)*(Tabelle2!$C$1:$C$1716&lt;=A158)*(Tabelle2!$D$1:$D$1716&gt;=A158)*ROW(Tabelle2!$1:$1716)))</f>
        <v>60882</v>
      </c>
      <c r="L158">
        <f t="shared" si="2"/>
        <v>14.782694392431258</v>
      </c>
    </row>
    <row r="159" spans="1:12" x14ac:dyDescent="0.25">
      <c r="A159" s="1">
        <v>45312</v>
      </c>
      <c r="B159">
        <v>7235</v>
      </c>
      <c r="C159" t="s">
        <v>170</v>
      </c>
      <c r="D159">
        <v>9</v>
      </c>
      <c r="E159">
        <v>5.9536803667467098</v>
      </c>
      <c r="I159"/>
      <c r="J159"/>
      <c r="K159">
        <f>INDEX(Tabelle2!E:E,SUMPRODUCT((Tabelle2!$A$1:$A$1716=B159)*(Tabelle2!$C$1:$C$1716&lt;=A159)*(Tabelle2!$D$1:$D$1716&gt;=A159)*ROW(Tabelle2!$1:$1716)))</f>
        <v>151167</v>
      </c>
      <c r="L159">
        <f t="shared" si="2"/>
        <v>5.9536803667467106</v>
      </c>
    </row>
    <row r="160" spans="1:12" x14ac:dyDescent="0.25">
      <c r="A160" s="1">
        <v>45312</v>
      </c>
      <c r="B160">
        <v>7311</v>
      </c>
      <c r="C160" t="s">
        <v>171</v>
      </c>
      <c r="D160">
        <v>1</v>
      </c>
      <c r="E160">
        <v>2.0503147233100201</v>
      </c>
      <c r="I160"/>
      <c r="J160"/>
      <c r="K160">
        <f>INDEX(Tabelle2!E:E,SUMPRODUCT((Tabelle2!$A$1:$A$1716=B160)*(Tabelle2!$C$1:$C$1716&lt;=A160)*(Tabelle2!$D$1:$D$1716&gt;=A160)*ROW(Tabelle2!$1:$1716)))</f>
        <v>48773</v>
      </c>
      <c r="L160">
        <f t="shared" si="2"/>
        <v>2.0503147233100281</v>
      </c>
    </row>
    <row r="161" spans="1:12" x14ac:dyDescent="0.25">
      <c r="A161" s="1">
        <v>45312</v>
      </c>
      <c r="B161">
        <v>7312</v>
      </c>
      <c r="C161" t="s">
        <v>172</v>
      </c>
      <c r="D161">
        <v>4</v>
      </c>
      <c r="E161">
        <v>4.0285219353019297</v>
      </c>
      <c r="I161"/>
      <c r="J161"/>
      <c r="K161">
        <f>INDEX(Tabelle2!E:E,SUMPRODUCT((Tabelle2!$A$1:$A$1716=B161)*(Tabelle2!$C$1:$C$1716&lt;=A161)*(Tabelle2!$D$1:$D$1716&gt;=A161)*ROW(Tabelle2!$1:$1716)))</f>
        <v>99292</v>
      </c>
      <c r="L161">
        <f t="shared" si="2"/>
        <v>4.0285219353019377</v>
      </c>
    </row>
    <row r="162" spans="1:12" x14ac:dyDescent="0.25">
      <c r="A162" s="1">
        <v>45312</v>
      </c>
      <c r="B162">
        <v>7313</v>
      </c>
      <c r="C162" t="s">
        <v>173</v>
      </c>
      <c r="D162">
        <v>2</v>
      </c>
      <c r="E162">
        <v>4.26266544470257</v>
      </c>
      <c r="I162"/>
      <c r="J162"/>
      <c r="K162">
        <f>INDEX(Tabelle2!E:E,SUMPRODUCT((Tabelle2!$A$1:$A$1716=B162)*(Tabelle2!$C$1:$C$1716&lt;=A162)*(Tabelle2!$D$1:$D$1716&gt;=A162)*ROW(Tabelle2!$1:$1716)))</f>
        <v>46919</v>
      </c>
      <c r="L162">
        <f t="shared" si="2"/>
        <v>4.2626654447025727</v>
      </c>
    </row>
    <row r="163" spans="1:12" x14ac:dyDescent="0.25">
      <c r="A163" s="1">
        <v>45312</v>
      </c>
      <c r="B163">
        <v>7314</v>
      </c>
      <c r="C163" t="s">
        <v>174</v>
      </c>
      <c r="D163">
        <v>9</v>
      </c>
      <c r="E163">
        <v>5.2281506869209098</v>
      </c>
      <c r="I163"/>
      <c r="J163"/>
      <c r="K163">
        <f>INDEX(Tabelle2!E:E,SUMPRODUCT((Tabelle2!$A$1:$A$1716=B163)*(Tabelle2!$C$1:$C$1716&lt;=A163)*(Tabelle2!$D$1:$D$1716&gt;=A163)*ROW(Tabelle2!$1:$1716)))</f>
        <v>172145</v>
      </c>
      <c r="L163">
        <f t="shared" si="2"/>
        <v>5.2281506869209098</v>
      </c>
    </row>
    <row r="164" spans="1:12" x14ac:dyDescent="0.25">
      <c r="A164" s="1">
        <v>45312</v>
      </c>
      <c r="B164">
        <v>7315</v>
      </c>
      <c r="C164" t="s">
        <v>175</v>
      </c>
      <c r="D164">
        <v>23</v>
      </c>
      <c r="E164">
        <v>10.571990659876001</v>
      </c>
      <c r="I164"/>
      <c r="J164"/>
      <c r="K164">
        <f>INDEX(Tabelle2!E:E,SUMPRODUCT((Tabelle2!$A$1:$A$1716=B164)*(Tabelle2!$C$1:$C$1716&lt;=A164)*(Tabelle2!$D$1:$D$1716&gt;=A164)*ROW(Tabelle2!$1:$1716)))</f>
        <v>217556</v>
      </c>
      <c r="L164">
        <f t="shared" si="2"/>
        <v>10.571990659876079</v>
      </c>
    </row>
    <row r="165" spans="1:12" x14ac:dyDescent="0.25">
      <c r="A165" s="1">
        <v>45312</v>
      </c>
      <c r="B165">
        <v>7316</v>
      </c>
      <c r="C165" t="s">
        <v>467</v>
      </c>
      <c r="D165">
        <v>6</v>
      </c>
      <c r="E165">
        <v>11.2168402161111</v>
      </c>
      <c r="I165"/>
      <c r="J165"/>
      <c r="K165">
        <f>INDEX(Tabelle2!E:E,SUMPRODUCT((Tabelle2!$A$1:$A$1716=B165)*(Tabelle2!$C$1:$C$1716&lt;=A165)*(Tabelle2!$D$1:$D$1716&gt;=A165)*ROW(Tabelle2!$1:$1716)))</f>
        <v>53491</v>
      </c>
      <c r="L165">
        <f t="shared" si="2"/>
        <v>11.216840216111121</v>
      </c>
    </row>
    <row r="166" spans="1:12" x14ac:dyDescent="0.25">
      <c r="A166" s="1">
        <v>45312</v>
      </c>
      <c r="B166">
        <v>7317</v>
      </c>
      <c r="C166" t="s">
        <v>177</v>
      </c>
      <c r="D166">
        <v>3</v>
      </c>
      <c r="E166">
        <v>7.4898886503220599</v>
      </c>
      <c r="I166"/>
      <c r="J166"/>
      <c r="K166">
        <f>INDEX(Tabelle2!E:E,SUMPRODUCT((Tabelle2!$A$1:$A$1716=B166)*(Tabelle2!$C$1:$C$1716&lt;=A166)*(Tabelle2!$D$1:$D$1716&gt;=A166)*ROW(Tabelle2!$1:$1716)))</f>
        <v>40054</v>
      </c>
      <c r="L166">
        <f t="shared" si="2"/>
        <v>7.4898886503220661</v>
      </c>
    </row>
    <row r="167" spans="1:12" x14ac:dyDescent="0.25">
      <c r="A167" s="1">
        <v>45312</v>
      </c>
      <c r="B167">
        <v>7318</v>
      </c>
      <c r="C167" t="s">
        <v>178</v>
      </c>
      <c r="D167">
        <v>9</v>
      </c>
      <c r="E167">
        <v>17.798872738059899</v>
      </c>
      <c r="I167"/>
      <c r="J167"/>
      <c r="K167">
        <f>INDEX(Tabelle2!E:E,SUMPRODUCT((Tabelle2!$A$1:$A$1716=B167)*(Tabelle2!$C$1:$C$1716&lt;=A167)*(Tabelle2!$D$1:$D$1716&gt;=A167)*ROW(Tabelle2!$1:$1716)))</f>
        <v>50565</v>
      </c>
      <c r="L167">
        <f t="shared" si="2"/>
        <v>17.798872738059924</v>
      </c>
    </row>
    <row r="168" spans="1:12" x14ac:dyDescent="0.25">
      <c r="A168" s="1">
        <v>45312</v>
      </c>
      <c r="B168">
        <v>7319</v>
      </c>
      <c r="C168" t="s">
        <v>179</v>
      </c>
      <c r="D168">
        <v>12</v>
      </c>
      <c r="E168">
        <v>14.311270125223601</v>
      </c>
      <c r="I168"/>
      <c r="J168"/>
      <c r="K168">
        <f>INDEX(Tabelle2!E:E,SUMPRODUCT((Tabelle2!$A$1:$A$1716=B168)*(Tabelle2!$C$1:$C$1716&lt;=A168)*(Tabelle2!$D$1:$D$1716&gt;=A168)*ROW(Tabelle2!$1:$1716)))</f>
        <v>83850</v>
      </c>
      <c r="L168">
        <f t="shared" si="2"/>
        <v>14.311270125223613</v>
      </c>
    </row>
    <row r="169" spans="1:12" x14ac:dyDescent="0.25">
      <c r="A169" s="1">
        <v>45312</v>
      </c>
      <c r="B169">
        <v>7320</v>
      </c>
      <c r="C169" t="s">
        <v>468</v>
      </c>
      <c r="D169">
        <v>2</v>
      </c>
      <c r="E169">
        <v>5.8666510222639401</v>
      </c>
      <c r="I169"/>
      <c r="J169"/>
      <c r="K169">
        <f>INDEX(Tabelle2!E:E,SUMPRODUCT((Tabelle2!$A$1:$A$1716=B169)*(Tabelle2!$C$1:$C$1716&lt;=A169)*(Tabelle2!$D$1:$D$1716&gt;=A169)*ROW(Tabelle2!$1:$1716)))</f>
        <v>34091</v>
      </c>
      <c r="L169">
        <f t="shared" si="2"/>
        <v>5.8666510222639401</v>
      </c>
    </row>
    <row r="170" spans="1:12" x14ac:dyDescent="0.25">
      <c r="A170" s="1">
        <v>45312</v>
      </c>
      <c r="B170">
        <v>7331</v>
      </c>
      <c r="C170" t="s">
        <v>181</v>
      </c>
      <c r="D170">
        <v>8</v>
      </c>
      <c r="E170">
        <v>6.0915251656133398</v>
      </c>
      <c r="I170"/>
      <c r="J170"/>
      <c r="K170">
        <f>INDEX(Tabelle2!E:E,SUMPRODUCT((Tabelle2!$A$1:$A$1716=B170)*(Tabelle2!$C$1:$C$1716&lt;=A170)*(Tabelle2!$D$1:$D$1716&gt;=A170)*ROW(Tabelle2!$1:$1716)))</f>
        <v>131330</v>
      </c>
      <c r="L170">
        <f t="shared" si="2"/>
        <v>6.0915251656133407</v>
      </c>
    </row>
    <row r="171" spans="1:12" x14ac:dyDescent="0.25">
      <c r="A171" s="1">
        <v>45312</v>
      </c>
      <c r="B171">
        <v>7332</v>
      </c>
      <c r="C171" t="s">
        <v>469</v>
      </c>
      <c r="D171">
        <v>12</v>
      </c>
      <c r="E171">
        <v>9.0086032160713394</v>
      </c>
      <c r="I171"/>
      <c r="J171"/>
      <c r="K171">
        <f>INDEX(Tabelle2!E:E,SUMPRODUCT((Tabelle2!$A$1:$A$1716=B171)*(Tabelle2!$C$1:$C$1716&lt;=A171)*(Tabelle2!$D$1:$D$1716&gt;=A171)*ROW(Tabelle2!$1:$1716)))</f>
        <v>133206</v>
      </c>
      <c r="L171">
        <f t="shared" si="2"/>
        <v>9.0086032160713483</v>
      </c>
    </row>
    <row r="172" spans="1:12" x14ac:dyDescent="0.25">
      <c r="A172" s="1">
        <v>45312</v>
      </c>
      <c r="B172">
        <v>7333</v>
      </c>
      <c r="C172" t="s">
        <v>183</v>
      </c>
      <c r="D172">
        <v>6</v>
      </c>
      <c r="E172">
        <v>7.9397636597017298</v>
      </c>
      <c r="I172"/>
      <c r="J172"/>
      <c r="K172">
        <f>INDEX(Tabelle2!E:E,SUMPRODUCT((Tabelle2!$A$1:$A$1716=B172)*(Tabelle2!$C$1:$C$1716&lt;=A172)*(Tabelle2!$D$1:$D$1716&gt;=A172)*ROW(Tabelle2!$1:$1716)))</f>
        <v>75569</v>
      </c>
      <c r="L172">
        <f t="shared" si="2"/>
        <v>7.9397636597017298</v>
      </c>
    </row>
    <row r="173" spans="1:12" x14ac:dyDescent="0.25">
      <c r="A173" s="1">
        <v>45312</v>
      </c>
      <c r="B173">
        <v>7334</v>
      </c>
      <c r="C173" t="s">
        <v>184</v>
      </c>
      <c r="D173">
        <v>4</v>
      </c>
      <c r="E173">
        <v>3.0932698181930598</v>
      </c>
      <c r="I173"/>
      <c r="J173"/>
      <c r="K173">
        <f>INDEX(Tabelle2!E:E,SUMPRODUCT((Tabelle2!$A$1:$A$1716=B173)*(Tabelle2!$C$1:$C$1716&lt;=A173)*(Tabelle2!$D$1:$D$1716&gt;=A173)*ROW(Tabelle2!$1:$1716)))</f>
        <v>129313</v>
      </c>
      <c r="L173">
        <f t="shared" si="2"/>
        <v>3.0932698181930669</v>
      </c>
    </row>
    <row r="174" spans="1:12" x14ac:dyDescent="0.25">
      <c r="A174" s="1">
        <v>45312</v>
      </c>
      <c r="B174">
        <v>7335</v>
      </c>
      <c r="C174" t="s">
        <v>185</v>
      </c>
      <c r="D174">
        <v>7</v>
      </c>
      <c r="E174">
        <v>6.5510561238336704</v>
      </c>
      <c r="I174"/>
      <c r="J174"/>
      <c r="K174">
        <f>INDEX(Tabelle2!E:E,SUMPRODUCT((Tabelle2!$A$1:$A$1716=B174)*(Tabelle2!$C$1:$C$1716&lt;=A174)*(Tabelle2!$D$1:$D$1716&gt;=A174)*ROW(Tabelle2!$1:$1716)))</f>
        <v>106853</v>
      </c>
      <c r="L174">
        <f t="shared" si="2"/>
        <v>6.5510561238336784</v>
      </c>
    </row>
    <row r="175" spans="1:12" x14ac:dyDescent="0.25">
      <c r="A175" s="1">
        <v>45312</v>
      </c>
      <c r="B175">
        <v>7336</v>
      </c>
      <c r="C175" t="s">
        <v>186</v>
      </c>
      <c r="D175">
        <v>6</v>
      </c>
      <c r="E175">
        <v>8.5776780225592901</v>
      </c>
      <c r="I175"/>
      <c r="J175"/>
      <c r="K175">
        <f>INDEX(Tabelle2!E:E,SUMPRODUCT((Tabelle2!$A$1:$A$1716=B175)*(Tabelle2!$C$1:$C$1716&lt;=A175)*(Tabelle2!$D$1:$D$1716&gt;=A175)*ROW(Tabelle2!$1:$1716)))</f>
        <v>69949</v>
      </c>
      <c r="L175">
        <f t="shared" si="2"/>
        <v>8.5776780225592937</v>
      </c>
    </row>
    <row r="176" spans="1:12" x14ac:dyDescent="0.25">
      <c r="A176" s="1">
        <v>45312</v>
      </c>
      <c r="B176">
        <v>7337</v>
      </c>
      <c r="C176" t="s">
        <v>470</v>
      </c>
      <c r="D176">
        <v>5</v>
      </c>
      <c r="E176">
        <v>4.4932107585438397</v>
      </c>
      <c r="I176"/>
      <c r="J176"/>
      <c r="K176">
        <f>INDEX(Tabelle2!E:E,SUMPRODUCT((Tabelle2!$A$1:$A$1716=B176)*(Tabelle2!$C$1:$C$1716&lt;=A176)*(Tabelle2!$D$1:$D$1716&gt;=A176)*ROW(Tabelle2!$1:$1716)))</f>
        <v>111279</v>
      </c>
      <c r="L176">
        <f t="shared" si="2"/>
        <v>4.4932107585438406</v>
      </c>
    </row>
    <row r="177" spans="1:12" x14ac:dyDescent="0.25">
      <c r="A177" s="1">
        <v>45312</v>
      </c>
      <c r="B177">
        <v>7338</v>
      </c>
      <c r="C177" t="s">
        <v>188</v>
      </c>
      <c r="D177">
        <v>8</v>
      </c>
      <c r="E177">
        <v>5.1596259271202802</v>
      </c>
      <c r="I177"/>
      <c r="J177"/>
      <c r="K177">
        <f>INDEX(Tabelle2!E:E,SUMPRODUCT((Tabelle2!$A$1:$A$1716=B177)*(Tabelle2!$C$1:$C$1716&lt;=A177)*(Tabelle2!$D$1:$D$1716&gt;=A177)*ROW(Tabelle2!$1:$1716)))</f>
        <v>155050</v>
      </c>
      <c r="L177">
        <f t="shared" si="2"/>
        <v>5.1596259271202838</v>
      </c>
    </row>
    <row r="178" spans="1:12" x14ac:dyDescent="0.25">
      <c r="A178" s="1">
        <v>45312</v>
      </c>
      <c r="B178">
        <v>7339</v>
      </c>
      <c r="C178" t="s">
        <v>189</v>
      </c>
      <c r="D178">
        <v>23</v>
      </c>
      <c r="E178">
        <v>10.8276056868468</v>
      </c>
      <c r="I178"/>
      <c r="J178"/>
      <c r="K178">
        <f>INDEX(Tabelle2!E:E,SUMPRODUCT((Tabelle2!$A$1:$A$1716=B178)*(Tabelle2!$C$1:$C$1716&lt;=A178)*(Tabelle2!$D$1:$D$1716&gt;=A178)*ROW(Tabelle2!$1:$1716)))</f>
        <v>212420</v>
      </c>
      <c r="L178">
        <f t="shared" si="2"/>
        <v>10.827605686846812</v>
      </c>
    </row>
    <row r="179" spans="1:12" x14ac:dyDescent="0.25">
      <c r="A179" s="1">
        <v>45312</v>
      </c>
      <c r="B179">
        <v>7340</v>
      </c>
      <c r="C179" t="s">
        <v>471</v>
      </c>
      <c r="D179">
        <v>3</v>
      </c>
      <c r="E179">
        <v>3.1639228424682799</v>
      </c>
      <c r="I179"/>
      <c r="J179"/>
      <c r="K179">
        <f>INDEX(Tabelle2!E:E,SUMPRODUCT((Tabelle2!$A$1:$A$1716=B179)*(Tabelle2!$C$1:$C$1716&lt;=A179)*(Tabelle2!$D$1:$D$1716&gt;=A179)*ROW(Tabelle2!$1:$1716)))</f>
        <v>94819</v>
      </c>
      <c r="L179">
        <f t="shared" si="2"/>
        <v>3.1639228424682813</v>
      </c>
    </row>
    <row r="180" spans="1:12" x14ac:dyDescent="0.25">
      <c r="A180" s="1">
        <v>45312</v>
      </c>
      <c r="B180">
        <v>8111</v>
      </c>
      <c r="C180" t="s">
        <v>192</v>
      </c>
      <c r="D180">
        <v>38</v>
      </c>
      <c r="E180">
        <v>6.0676220510159196</v>
      </c>
      <c r="I180"/>
      <c r="J180"/>
      <c r="K180">
        <f>INDEX(Tabelle2!E:E,SUMPRODUCT((Tabelle2!$A$1:$A$1716=B180)*(Tabelle2!$C$1:$C$1716&lt;=A180)*(Tabelle2!$D$1:$D$1716&gt;=A180)*ROW(Tabelle2!$1:$1716)))</f>
        <v>626275</v>
      </c>
      <c r="L180">
        <f t="shared" si="2"/>
        <v>6.0676220510159276</v>
      </c>
    </row>
    <row r="181" spans="1:12" x14ac:dyDescent="0.25">
      <c r="A181" s="1">
        <v>45312</v>
      </c>
      <c r="B181">
        <v>8115</v>
      </c>
      <c r="C181" t="s">
        <v>472</v>
      </c>
      <c r="D181">
        <v>24</v>
      </c>
      <c r="E181">
        <v>6.1038416053103397</v>
      </c>
      <c r="I181"/>
      <c r="J181"/>
      <c r="K181">
        <f>INDEX(Tabelle2!E:E,SUMPRODUCT((Tabelle2!$A$1:$A$1716=B181)*(Tabelle2!$C$1:$C$1716&lt;=A181)*(Tabelle2!$D$1:$D$1716&gt;=A181)*ROW(Tabelle2!$1:$1716)))</f>
        <v>393195</v>
      </c>
      <c r="L181">
        <f t="shared" si="2"/>
        <v>6.1038416053103424</v>
      </c>
    </row>
    <row r="182" spans="1:12" x14ac:dyDescent="0.25">
      <c r="A182" s="1">
        <v>45312</v>
      </c>
      <c r="B182">
        <v>8116</v>
      </c>
      <c r="C182" t="s">
        <v>194</v>
      </c>
      <c r="D182">
        <v>24</v>
      </c>
      <c r="E182">
        <v>4.4995387972732797</v>
      </c>
      <c r="I182"/>
      <c r="J182"/>
      <c r="K182">
        <f>INDEX(Tabelle2!E:E,SUMPRODUCT((Tabelle2!$A$1:$A$1716=B182)*(Tabelle2!$C$1:$C$1716&lt;=A182)*(Tabelle2!$D$1:$D$1716&gt;=A182)*ROW(Tabelle2!$1:$1716)))</f>
        <v>533388</v>
      </c>
      <c r="L182">
        <f t="shared" si="2"/>
        <v>4.4995387972732797</v>
      </c>
    </row>
    <row r="183" spans="1:12" x14ac:dyDescent="0.25">
      <c r="A183" s="1">
        <v>45312</v>
      </c>
      <c r="B183">
        <v>8117</v>
      </c>
      <c r="C183" t="s">
        <v>473</v>
      </c>
      <c r="D183">
        <v>7</v>
      </c>
      <c r="E183">
        <v>2.70222277124526</v>
      </c>
      <c r="I183"/>
      <c r="J183"/>
      <c r="K183">
        <f>INDEX(Tabelle2!E:E,SUMPRODUCT((Tabelle2!$A$1:$A$1716=B183)*(Tabelle2!$C$1:$C$1716&lt;=A183)*(Tabelle2!$D$1:$D$1716&gt;=A183)*ROW(Tabelle2!$1:$1716)))</f>
        <v>259046</v>
      </c>
      <c r="L183">
        <f t="shared" si="2"/>
        <v>2.7022227712452618</v>
      </c>
    </row>
    <row r="184" spans="1:12" x14ac:dyDescent="0.25">
      <c r="A184" s="1">
        <v>45312</v>
      </c>
      <c r="B184">
        <v>8118</v>
      </c>
      <c r="C184" t="s">
        <v>196</v>
      </c>
      <c r="D184">
        <v>19</v>
      </c>
      <c r="E184">
        <v>3.4882931047460901</v>
      </c>
      <c r="I184"/>
      <c r="J184"/>
      <c r="K184">
        <f>INDEX(Tabelle2!E:E,SUMPRODUCT((Tabelle2!$A$1:$A$1716=B184)*(Tabelle2!$C$1:$C$1716&lt;=A184)*(Tabelle2!$D$1:$D$1716&gt;=A184)*ROW(Tabelle2!$1:$1716)))</f>
        <v>544679</v>
      </c>
      <c r="L184">
        <f t="shared" si="2"/>
        <v>3.4882931047460981</v>
      </c>
    </row>
    <row r="185" spans="1:12" x14ac:dyDescent="0.25">
      <c r="A185" s="1">
        <v>45312</v>
      </c>
      <c r="B185">
        <v>8119</v>
      </c>
      <c r="C185" t="s">
        <v>197</v>
      </c>
      <c r="D185">
        <v>28</v>
      </c>
      <c r="E185">
        <v>6.5525278716453297</v>
      </c>
      <c r="I185"/>
      <c r="J185"/>
      <c r="K185">
        <f>INDEX(Tabelle2!E:E,SUMPRODUCT((Tabelle2!$A$1:$A$1716=B185)*(Tabelle2!$C$1:$C$1716&lt;=A185)*(Tabelle2!$D$1:$D$1716&gt;=A185)*ROW(Tabelle2!$1:$1716)))</f>
        <v>427316</v>
      </c>
      <c r="L185">
        <f t="shared" si="2"/>
        <v>6.5525278716453395</v>
      </c>
    </row>
    <row r="186" spans="1:12" x14ac:dyDescent="0.25">
      <c r="A186" s="1">
        <v>45312</v>
      </c>
      <c r="B186">
        <v>8121</v>
      </c>
      <c r="C186" t="s">
        <v>198</v>
      </c>
      <c r="D186">
        <v>17</v>
      </c>
      <c r="E186">
        <v>13.533631073216901</v>
      </c>
      <c r="I186"/>
      <c r="J186"/>
      <c r="K186">
        <f>INDEX(Tabelle2!E:E,SUMPRODUCT((Tabelle2!$A$1:$A$1716=B186)*(Tabelle2!$C$1:$C$1716&lt;=A186)*(Tabelle2!$D$1:$D$1716&gt;=A186)*ROW(Tabelle2!$1:$1716)))</f>
        <v>125613</v>
      </c>
      <c r="L186">
        <f t="shared" si="2"/>
        <v>13.533631073216943</v>
      </c>
    </row>
    <row r="187" spans="1:12" x14ac:dyDescent="0.25">
      <c r="A187" s="1">
        <v>45312</v>
      </c>
      <c r="B187">
        <v>8125</v>
      </c>
      <c r="C187" t="s">
        <v>199</v>
      </c>
      <c r="D187">
        <v>22</v>
      </c>
      <c r="E187">
        <v>6.3255107849958803</v>
      </c>
      <c r="I187"/>
      <c r="J187"/>
      <c r="K187">
        <f>INDEX(Tabelle2!E:E,SUMPRODUCT((Tabelle2!$A$1:$A$1716=B187)*(Tabelle2!$C$1:$C$1716&lt;=A187)*(Tabelle2!$D$1:$D$1716&gt;=A187)*ROW(Tabelle2!$1:$1716)))</f>
        <v>347798</v>
      </c>
      <c r="L187">
        <f t="shared" si="2"/>
        <v>6.3255107849958883</v>
      </c>
    </row>
    <row r="188" spans="1:12" x14ac:dyDescent="0.25">
      <c r="A188" s="1">
        <v>45312</v>
      </c>
      <c r="B188">
        <v>8126</v>
      </c>
      <c r="C188" t="s">
        <v>200</v>
      </c>
      <c r="D188">
        <v>0</v>
      </c>
      <c r="E188">
        <v>0</v>
      </c>
      <c r="I188"/>
      <c r="J188"/>
      <c r="K188">
        <f>INDEX(Tabelle2!E:E,SUMPRODUCT((Tabelle2!$A$1:$A$1716=B188)*(Tabelle2!$C$1:$C$1716&lt;=A188)*(Tabelle2!$D$1:$D$1716&gt;=A188)*ROW(Tabelle2!$1:$1716)))</f>
        <v>113318</v>
      </c>
      <c r="L188">
        <f t="shared" si="2"/>
        <v>0</v>
      </c>
    </row>
    <row r="189" spans="1:12" x14ac:dyDescent="0.25">
      <c r="A189" s="1">
        <v>45312</v>
      </c>
      <c r="B189">
        <v>8127</v>
      </c>
      <c r="C189" t="s">
        <v>474</v>
      </c>
      <c r="D189">
        <v>11</v>
      </c>
      <c r="E189">
        <v>5.5166049809927804</v>
      </c>
      <c r="I189"/>
      <c r="J189"/>
      <c r="K189">
        <f>INDEX(Tabelle2!E:E,SUMPRODUCT((Tabelle2!$A$1:$A$1716=B189)*(Tabelle2!$C$1:$C$1716&lt;=A189)*(Tabelle2!$D$1:$D$1716&gt;=A189)*ROW(Tabelle2!$1:$1716)))</f>
        <v>199398</v>
      </c>
      <c r="L189">
        <f t="shared" si="2"/>
        <v>5.5166049809927884</v>
      </c>
    </row>
    <row r="190" spans="1:12" x14ac:dyDescent="0.25">
      <c r="A190" s="1">
        <v>45312</v>
      </c>
      <c r="B190">
        <v>8128</v>
      </c>
      <c r="C190" t="s">
        <v>202</v>
      </c>
      <c r="D190">
        <v>7</v>
      </c>
      <c r="E190">
        <v>5.2648996660549301</v>
      </c>
      <c r="I190"/>
      <c r="J190"/>
      <c r="K190">
        <f>INDEX(Tabelle2!E:E,SUMPRODUCT((Tabelle2!$A$1:$A$1716=B190)*(Tabelle2!$C$1:$C$1716&lt;=A190)*(Tabelle2!$D$1:$D$1716&gt;=A190)*ROW(Tabelle2!$1:$1716)))</f>
        <v>132956</v>
      </c>
      <c r="L190">
        <f t="shared" si="2"/>
        <v>5.2648996660549354</v>
      </c>
    </row>
    <row r="191" spans="1:12" x14ac:dyDescent="0.25">
      <c r="A191" s="1">
        <v>45312</v>
      </c>
      <c r="B191">
        <v>8135</v>
      </c>
      <c r="C191" t="s">
        <v>203</v>
      </c>
      <c r="D191">
        <v>9</v>
      </c>
      <c r="E191">
        <v>6.7690548895139804</v>
      </c>
      <c r="I191"/>
      <c r="J191"/>
      <c r="K191">
        <f>INDEX(Tabelle2!E:E,SUMPRODUCT((Tabelle2!$A$1:$A$1716=B191)*(Tabelle2!$C$1:$C$1716&lt;=A191)*(Tabelle2!$D$1:$D$1716&gt;=A191)*ROW(Tabelle2!$1:$1716)))</f>
        <v>132958</v>
      </c>
      <c r="L191">
        <f t="shared" si="2"/>
        <v>6.7690548895139813</v>
      </c>
    </row>
    <row r="192" spans="1:12" x14ac:dyDescent="0.25">
      <c r="A192" s="1">
        <v>45312</v>
      </c>
      <c r="B192">
        <v>8136</v>
      </c>
      <c r="C192" t="s">
        <v>204</v>
      </c>
      <c r="D192">
        <v>23</v>
      </c>
      <c r="E192">
        <v>7.3013786907675602</v>
      </c>
      <c r="I192"/>
      <c r="J192"/>
      <c r="K192">
        <f>INDEX(Tabelle2!E:E,SUMPRODUCT((Tabelle2!$A$1:$A$1716=B192)*(Tabelle2!$C$1:$C$1716&lt;=A192)*(Tabelle2!$D$1:$D$1716&gt;=A192)*ROW(Tabelle2!$1:$1716)))</f>
        <v>315009</v>
      </c>
      <c r="L192">
        <f t="shared" si="2"/>
        <v>7.3013786907675655</v>
      </c>
    </row>
    <row r="193" spans="1:12" x14ac:dyDescent="0.25">
      <c r="A193" s="1">
        <v>45312</v>
      </c>
      <c r="B193">
        <v>8211</v>
      </c>
      <c r="C193" t="s">
        <v>205</v>
      </c>
      <c r="D193">
        <v>4</v>
      </c>
      <c r="E193">
        <v>7.2037027031894398</v>
      </c>
      <c r="I193"/>
      <c r="J193"/>
      <c r="K193">
        <f>INDEX(Tabelle2!E:E,SUMPRODUCT((Tabelle2!$A$1:$A$1716=B193)*(Tabelle2!$C$1:$C$1716&lt;=A193)*(Tabelle2!$D$1:$D$1716&gt;=A193)*ROW(Tabelle2!$1:$1716)))</f>
        <v>55527</v>
      </c>
      <c r="L193">
        <f t="shared" si="2"/>
        <v>7.2037027031894398</v>
      </c>
    </row>
    <row r="194" spans="1:12" x14ac:dyDescent="0.25">
      <c r="A194" s="1">
        <v>45312</v>
      </c>
      <c r="B194">
        <v>8212</v>
      </c>
      <c r="C194" t="s">
        <v>206</v>
      </c>
      <c r="D194">
        <v>19</v>
      </c>
      <c r="E194">
        <v>6.1989807570586803</v>
      </c>
      <c r="I194"/>
      <c r="J194"/>
      <c r="K194">
        <f>INDEX(Tabelle2!E:E,SUMPRODUCT((Tabelle2!$A$1:$A$1716=B194)*(Tabelle2!$C$1:$C$1716&lt;=A194)*(Tabelle2!$D$1:$D$1716&gt;=A194)*ROW(Tabelle2!$1:$1716)))</f>
        <v>306502</v>
      </c>
      <c r="L194">
        <f t="shared" si="2"/>
        <v>6.1989807570586812</v>
      </c>
    </row>
    <row r="195" spans="1:12" x14ac:dyDescent="0.25">
      <c r="A195" s="1">
        <v>45312</v>
      </c>
      <c r="B195">
        <v>8215</v>
      </c>
      <c r="C195" t="s">
        <v>207</v>
      </c>
      <c r="D195">
        <v>27</v>
      </c>
      <c r="E195">
        <v>6.0202413893825204</v>
      </c>
      <c r="I195"/>
      <c r="J195"/>
      <c r="K195">
        <f>INDEX(Tabelle2!E:E,SUMPRODUCT((Tabelle2!$A$1:$A$1716=B195)*(Tabelle2!$C$1:$C$1716&lt;=A195)*(Tabelle2!$D$1:$D$1716&gt;=A195)*ROW(Tabelle2!$1:$1716)))</f>
        <v>448487</v>
      </c>
      <c r="L195">
        <f t="shared" ref="L195:L258" si="3">D195/K195*100000</f>
        <v>6.020241389382524</v>
      </c>
    </row>
    <row r="196" spans="1:12" x14ac:dyDescent="0.25">
      <c r="A196" s="1">
        <v>45312</v>
      </c>
      <c r="B196">
        <v>8216</v>
      </c>
      <c r="C196" t="s">
        <v>208</v>
      </c>
      <c r="D196">
        <v>8</v>
      </c>
      <c r="E196">
        <v>3.4438819437269599</v>
      </c>
      <c r="I196"/>
      <c r="J196"/>
      <c r="K196">
        <f>INDEX(Tabelle2!E:E,SUMPRODUCT((Tabelle2!$A$1:$A$1716=B196)*(Tabelle2!$C$1:$C$1716&lt;=A196)*(Tabelle2!$D$1:$D$1716&gt;=A196)*ROW(Tabelle2!$1:$1716)))</f>
        <v>232296</v>
      </c>
      <c r="L196">
        <f t="shared" si="3"/>
        <v>3.4438819437269692</v>
      </c>
    </row>
    <row r="197" spans="1:12" x14ac:dyDescent="0.25">
      <c r="A197" s="1">
        <v>45312</v>
      </c>
      <c r="B197">
        <v>8221</v>
      </c>
      <c r="C197" t="s">
        <v>209</v>
      </c>
      <c r="D197">
        <v>12</v>
      </c>
      <c r="E197">
        <v>7.5355584162767997</v>
      </c>
      <c r="I197"/>
      <c r="J197"/>
      <c r="K197">
        <f>INDEX(Tabelle2!E:E,SUMPRODUCT((Tabelle2!$A$1:$A$1716=B197)*(Tabelle2!$C$1:$C$1716&lt;=A197)*(Tabelle2!$D$1:$D$1716&gt;=A197)*ROW(Tabelle2!$1:$1716)))</f>
        <v>159245</v>
      </c>
      <c r="L197">
        <f t="shared" si="3"/>
        <v>7.5355584162768059</v>
      </c>
    </row>
    <row r="198" spans="1:12" x14ac:dyDescent="0.25">
      <c r="A198" s="1">
        <v>45312</v>
      </c>
      <c r="B198">
        <v>8222</v>
      </c>
      <c r="C198" t="s">
        <v>210</v>
      </c>
      <c r="D198">
        <v>37</v>
      </c>
      <c r="E198">
        <v>11.8654014514272</v>
      </c>
      <c r="I198"/>
      <c r="J198"/>
      <c r="K198">
        <f>INDEX(Tabelle2!E:E,SUMPRODUCT((Tabelle2!$A$1:$A$1716=B198)*(Tabelle2!$C$1:$C$1716&lt;=A198)*(Tabelle2!$D$1:$D$1716&gt;=A198)*ROW(Tabelle2!$1:$1716)))</f>
        <v>311831</v>
      </c>
      <c r="L198">
        <f t="shared" si="3"/>
        <v>11.865401451427216</v>
      </c>
    </row>
    <row r="199" spans="1:12" x14ac:dyDescent="0.25">
      <c r="A199" s="1">
        <v>45312</v>
      </c>
      <c r="B199">
        <v>8225</v>
      </c>
      <c r="C199" t="s">
        <v>211</v>
      </c>
      <c r="D199">
        <v>12</v>
      </c>
      <c r="E199">
        <v>8.3374441564938202</v>
      </c>
      <c r="I199"/>
      <c r="J199"/>
      <c r="K199">
        <f>INDEX(Tabelle2!E:E,SUMPRODUCT((Tabelle2!$A$1:$A$1716=B199)*(Tabelle2!$C$1:$C$1716&lt;=A199)*(Tabelle2!$D$1:$D$1716&gt;=A199)*ROW(Tabelle2!$1:$1716)))</f>
        <v>143929</v>
      </c>
      <c r="L199">
        <f t="shared" si="3"/>
        <v>8.3374441564938273</v>
      </c>
    </row>
    <row r="200" spans="1:12" x14ac:dyDescent="0.25">
      <c r="A200" s="1">
        <v>45312</v>
      </c>
      <c r="B200">
        <v>8226</v>
      </c>
      <c r="C200" t="s">
        <v>212</v>
      </c>
      <c r="D200">
        <v>30</v>
      </c>
      <c r="E200">
        <v>5.46418228512103</v>
      </c>
      <c r="I200"/>
      <c r="J200"/>
      <c r="K200">
        <f>INDEX(Tabelle2!E:E,SUMPRODUCT((Tabelle2!$A$1:$A$1716=B200)*(Tabelle2!$C$1:$C$1716&lt;=A200)*(Tabelle2!$D$1:$D$1716&gt;=A200)*ROW(Tabelle2!$1:$1716)))</f>
        <v>549030</v>
      </c>
      <c r="L200">
        <f t="shared" si="3"/>
        <v>5.4641822851210309</v>
      </c>
    </row>
    <row r="201" spans="1:12" x14ac:dyDescent="0.25">
      <c r="A201" s="1">
        <v>45312</v>
      </c>
      <c r="B201">
        <v>8231</v>
      </c>
      <c r="C201" t="s">
        <v>213</v>
      </c>
      <c r="D201">
        <v>7</v>
      </c>
      <c r="E201">
        <v>5.5764006723545902</v>
      </c>
      <c r="I201"/>
      <c r="J201"/>
      <c r="K201">
        <f>INDEX(Tabelle2!E:E,SUMPRODUCT((Tabelle2!$A$1:$A$1716=B201)*(Tabelle2!$C$1:$C$1716&lt;=A201)*(Tabelle2!$D$1:$D$1716&gt;=A201)*ROW(Tabelle2!$1:$1716)))</f>
        <v>125529</v>
      </c>
      <c r="L201">
        <f t="shared" si="3"/>
        <v>5.5764006723545956</v>
      </c>
    </row>
    <row r="202" spans="1:12" x14ac:dyDescent="0.25">
      <c r="A202" s="1">
        <v>45312</v>
      </c>
      <c r="B202">
        <v>8235</v>
      </c>
      <c r="C202" t="s">
        <v>214</v>
      </c>
      <c r="D202">
        <v>15</v>
      </c>
      <c r="E202">
        <v>9.3349762891602204</v>
      </c>
      <c r="I202"/>
      <c r="J202"/>
      <c r="K202">
        <f>INDEX(Tabelle2!E:E,SUMPRODUCT((Tabelle2!$A$1:$A$1716=B202)*(Tabelle2!$C$1:$C$1716&lt;=A202)*(Tabelle2!$D$1:$D$1716&gt;=A202)*ROW(Tabelle2!$1:$1716)))</f>
        <v>160686</v>
      </c>
      <c r="L202">
        <f t="shared" si="3"/>
        <v>9.3349762891602257</v>
      </c>
    </row>
    <row r="203" spans="1:12" x14ac:dyDescent="0.25">
      <c r="A203" s="1">
        <v>45312</v>
      </c>
      <c r="B203">
        <v>8236</v>
      </c>
      <c r="C203" t="s">
        <v>215</v>
      </c>
      <c r="D203">
        <v>11</v>
      </c>
      <c r="E203">
        <v>5.4934902140962896</v>
      </c>
      <c r="I203"/>
      <c r="J203"/>
      <c r="K203">
        <f>INDEX(Tabelle2!E:E,SUMPRODUCT((Tabelle2!$A$1:$A$1716=B203)*(Tabelle2!$C$1:$C$1716&lt;=A203)*(Tabelle2!$D$1:$D$1716&gt;=A203)*ROW(Tabelle2!$1:$1716)))</f>
        <v>200237</v>
      </c>
      <c r="L203">
        <f t="shared" si="3"/>
        <v>5.4934902140962958</v>
      </c>
    </row>
    <row r="204" spans="1:12" x14ac:dyDescent="0.25">
      <c r="A204" s="1">
        <v>45312</v>
      </c>
      <c r="B204">
        <v>8237</v>
      </c>
      <c r="C204" t="s">
        <v>216</v>
      </c>
      <c r="D204">
        <v>2</v>
      </c>
      <c r="E204">
        <v>1.67809167414815</v>
      </c>
      <c r="I204"/>
      <c r="J204"/>
      <c r="K204">
        <f>INDEX(Tabelle2!E:E,SUMPRODUCT((Tabelle2!$A$1:$A$1716=B204)*(Tabelle2!$C$1:$C$1716&lt;=A204)*(Tabelle2!$D$1:$D$1716&gt;=A204)*ROW(Tabelle2!$1:$1716)))</f>
        <v>119183</v>
      </c>
      <c r="L204">
        <f t="shared" si="3"/>
        <v>1.6780916741481589</v>
      </c>
    </row>
    <row r="205" spans="1:12" x14ac:dyDescent="0.25">
      <c r="A205" s="1">
        <v>45312</v>
      </c>
      <c r="B205">
        <v>8311</v>
      </c>
      <c r="C205" t="s">
        <v>217</v>
      </c>
      <c r="D205">
        <v>14</v>
      </c>
      <c r="E205">
        <v>6.0384389772609603</v>
      </c>
      <c r="I205"/>
      <c r="J205"/>
      <c r="K205">
        <f>INDEX(Tabelle2!E:E,SUMPRODUCT((Tabelle2!$A$1:$A$1716=B205)*(Tabelle2!$C$1:$C$1716&lt;=A205)*(Tabelle2!$D$1:$D$1716&gt;=A205)*ROW(Tabelle2!$1:$1716)))</f>
        <v>231848</v>
      </c>
      <c r="L205">
        <f t="shared" si="3"/>
        <v>6.0384389772609639</v>
      </c>
    </row>
    <row r="206" spans="1:12" x14ac:dyDescent="0.25">
      <c r="A206" s="1">
        <v>45312</v>
      </c>
      <c r="B206">
        <v>8315</v>
      </c>
      <c r="C206" t="s">
        <v>218</v>
      </c>
      <c r="D206">
        <v>13</v>
      </c>
      <c r="E206">
        <v>4.8910426197929198</v>
      </c>
      <c r="I206"/>
      <c r="J206"/>
      <c r="K206">
        <f>INDEX(Tabelle2!E:E,SUMPRODUCT((Tabelle2!$A$1:$A$1716=B206)*(Tabelle2!$C$1:$C$1716&lt;=A206)*(Tabelle2!$D$1:$D$1716&gt;=A206)*ROW(Tabelle2!$1:$1716)))</f>
        <v>265792</v>
      </c>
      <c r="L206">
        <f t="shared" si="3"/>
        <v>4.8910426197929207</v>
      </c>
    </row>
    <row r="207" spans="1:12" x14ac:dyDescent="0.25">
      <c r="A207" s="1">
        <v>45312</v>
      </c>
      <c r="B207">
        <v>8316</v>
      </c>
      <c r="C207" t="s">
        <v>219</v>
      </c>
      <c r="D207">
        <v>20</v>
      </c>
      <c r="E207">
        <v>11.908660573402001</v>
      </c>
      <c r="I207"/>
      <c r="J207"/>
      <c r="K207">
        <f>INDEX(Tabelle2!E:E,SUMPRODUCT((Tabelle2!$A$1:$A$1716=B207)*(Tabelle2!$C$1:$C$1716&lt;=A207)*(Tabelle2!$D$1:$D$1716&gt;=A207)*ROW(Tabelle2!$1:$1716)))</f>
        <v>167945</v>
      </c>
      <c r="L207">
        <f t="shared" si="3"/>
        <v>11.908660573402006</v>
      </c>
    </row>
    <row r="208" spans="1:12" x14ac:dyDescent="0.25">
      <c r="A208" s="1">
        <v>45312</v>
      </c>
      <c r="B208">
        <v>8317</v>
      </c>
      <c r="C208" t="s">
        <v>220</v>
      </c>
      <c r="D208">
        <v>25</v>
      </c>
      <c r="E208">
        <v>5.7532764909615999</v>
      </c>
      <c r="I208"/>
      <c r="J208"/>
      <c r="K208">
        <f>INDEX(Tabelle2!E:E,SUMPRODUCT((Tabelle2!$A$1:$A$1716=B208)*(Tabelle2!$C$1:$C$1716&lt;=A208)*(Tabelle2!$D$1:$D$1716&gt;=A208)*ROW(Tabelle2!$1:$1716)))</f>
        <v>434535</v>
      </c>
      <c r="L208">
        <f t="shared" si="3"/>
        <v>5.7532764909616025</v>
      </c>
    </row>
    <row r="209" spans="1:12" x14ac:dyDescent="0.25">
      <c r="A209" s="1">
        <v>45312</v>
      </c>
      <c r="B209">
        <v>8325</v>
      </c>
      <c r="C209" t="s">
        <v>221</v>
      </c>
      <c r="D209">
        <v>10</v>
      </c>
      <c r="E209">
        <v>7.1201743018668999</v>
      </c>
      <c r="I209"/>
      <c r="J209"/>
      <c r="K209">
        <f>INDEX(Tabelle2!E:E,SUMPRODUCT((Tabelle2!$A$1:$A$1716=B209)*(Tabelle2!$C$1:$C$1716&lt;=A209)*(Tabelle2!$D$1:$D$1716&gt;=A209)*ROW(Tabelle2!$1:$1716)))</f>
        <v>140446</v>
      </c>
      <c r="L209">
        <f t="shared" si="3"/>
        <v>7.1201743018669088</v>
      </c>
    </row>
    <row r="210" spans="1:12" x14ac:dyDescent="0.25">
      <c r="A210" s="1">
        <v>45312</v>
      </c>
      <c r="B210">
        <v>8326</v>
      </c>
      <c r="C210" t="s">
        <v>222</v>
      </c>
      <c r="D210">
        <v>29</v>
      </c>
      <c r="E210">
        <v>13.5904585608173</v>
      </c>
      <c r="I210"/>
      <c r="J210"/>
      <c r="K210">
        <f>INDEX(Tabelle2!E:E,SUMPRODUCT((Tabelle2!$A$1:$A$1716=B210)*(Tabelle2!$C$1:$C$1716&lt;=A210)*(Tabelle2!$D$1:$D$1716&gt;=A210)*ROW(Tabelle2!$1:$1716)))</f>
        <v>213385</v>
      </c>
      <c r="L210">
        <f t="shared" si="3"/>
        <v>13.590458560817302</v>
      </c>
    </row>
    <row r="211" spans="1:12" x14ac:dyDescent="0.25">
      <c r="A211" s="1">
        <v>45312</v>
      </c>
      <c r="B211">
        <v>8327</v>
      </c>
      <c r="C211" t="s">
        <v>223</v>
      </c>
      <c r="D211">
        <v>11</v>
      </c>
      <c r="E211">
        <v>7.72395972306093</v>
      </c>
      <c r="I211"/>
      <c r="J211"/>
      <c r="K211">
        <f>INDEX(Tabelle2!E:E,SUMPRODUCT((Tabelle2!$A$1:$A$1716=B211)*(Tabelle2!$C$1:$C$1716&lt;=A211)*(Tabelle2!$D$1:$D$1716&gt;=A211)*ROW(Tabelle2!$1:$1716)))</f>
        <v>142414</v>
      </c>
      <c r="L211">
        <f t="shared" si="3"/>
        <v>7.7239597230609354</v>
      </c>
    </row>
    <row r="212" spans="1:12" x14ac:dyDescent="0.25">
      <c r="A212" s="1">
        <v>45312</v>
      </c>
      <c r="B212">
        <v>8335</v>
      </c>
      <c r="C212" t="s">
        <v>224</v>
      </c>
      <c r="D212">
        <v>7</v>
      </c>
      <c r="E212">
        <v>2.4297372065658398</v>
      </c>
      <c r="I212"/>
      <c r="J212"/>
      <c r="K212">
        <f>INDEX(Tabelle2!E:E,SUMPRODUCT((Tabelle2!$A$1:$A$1716=B212)*(Tabelle2!$C$1:$C$1716&lt;=A212)*(Tabelle2!$D$1:$D$1716&gt;=A212)*ROW(Tabelle2!$1:$1716)))</f>
        <v>288097</v>
      </c>
      <c r="L212">
        <f t="shared" si="3"/>
        <v>2.4297372065658442</v>
      </c>
    </row>
    <row r="213" spans="1:12" x14ac:dyDescent="0.25">
      <c r="A213" s="1">
        <v>45312</v>
      </c>
      <c r="B213">
        <v>8336</v>
      </c>
      <c r="C213" t="s">
        <v>475</v>
      </c>
      <c r="D213">
        <v>12</v>
      </c>
      <c r="E213">
        <v>5.2300115496088297</v>
      </c>
      <c r="I213"/>
      <c r="J213"/>
      <c r="K213">
        <f>INDEX(Tabelle2!E:E,SUMPRODUCT((Tabelle2!$A$1:$A$1716=B213)*(Tabelle2!$C$1:$C$1716&lt;=A213)*(Tabelle2!$D$1:$D$1716&gt;=A213)*ROW(Tabelle2!$1:$1716)))</f>
        <v>229445</v>
      </c>
      <c r="L213">
        <f t="shared" si="3"/>
        <v>5.2300115496088386</v>
      </c>
    </row>
    <row r="214" spans="1:12" x14ac:dyDescent="0.25">
      <c r="A214" s="1">
        <v>45312</v>
      </c>
      <c r="B214">
        <v>8337</v>
      </c>
      <c r="C214" t="s">
        <v>226</v>
      </c>
      <c r="D214">
        <v>10</v>
      </c>
      <c r="E214">
        <v>5.8394501573731796</v>
      </c>
      <c r="I214"/>
      <c r="J214"/>
      <c r="K214">
        <f>INDEX(Tabelle2!E:E,SUMPRODUCT((Tabelle2!$A$1:$A$1716=B214)*(Tabelle2!$C$1:$C$1716&lt;=A214)*(Tabelle2!$D$1:$D$1716&gt;=A214)*ROW(Tabelle2!$1:$1716)))</f>
        <v>171249</v>
      </c>
      <c r="L214">
        <f t="shared" si="3"/>
        <v>5.8394501573731814</v>
      </c>
    </row>
    <row r="215" spans="1:12" x14ac:dyDescent="0.25">
      <c r="A215" s="1">
        <v>45312</v>
      </c>
      <c r="B215">
        <v>8415</v>
      </c>
      <c r="C215" t="s">
        <v>227</v>
      </c>
      <c r="D215">
        <v>50</v>
      </c>
      <c r="E215">
        <v>17.351591835034899</v>
      </c>
      <c r="I215"/>
      <c r="J215"/>
      <c r="K215">
        <f>INDEX(Tabelle2!E:E,SUMPRODUCT((Tabelle2!$A$1:$A$1716=B215)*(Tabelle2!$C$1:$C$1716&lt;=A215)*(Tabelle2!$D$1:$D$1716&gt;=A215)*ROW(Tabelle2!$1:$1716)))</f>
        <v>288158</v>
      </c>
      <c r="L215">
        <f t="shared" si="3"/>
        <v>17.351591835034945</v>
      </c>
    </row>
    <row r="216" spans="1:12" x14ac:dyDescent="0.25">
      <c r="A216" s="1">
        <v>45312</v>
      </c>
      <c r="B216">
        <v>8416</v>
      </c>
      <c r="C216" t="s">
        <v>476</v>
      </c>
      <c r="D216">
        <v>20</v>
      </c>
      <c r="E216">
        <v>8.7029929592786903</v>
      </c>
      <c r="I216"/>
      <c r="J216"/>
      <c r="K216">
        <f>INDEX(Tabelle2!E:E,SUMPRODUCT((Tabelle2!$A$1:$A$1716=B216)*(Tabelle2!$C$1:$C$1716&lt;=A216)*(Tabelle2!$D$1:$D$1716&gt;=A216)*ROW(Tabelle2!$1:$1716)))</f>
        <v>229806</v>
      </c>
      <c r="L216">
        <f t="shared" si="3"/>
        <v>8.7029929592786957</v>
      </c>
    </row>
    <row r="217" spans="1:12" x14ac:dyDescent="0.25">
      <c r="A217" s="1">
        <v>45312</v>
      </c>
      <c r="B217">
        <v>8417</v>
      </c>
      <c r="C217" t="s">
        <v>229</v>
      </c>
      <c r="D217">
        <v>11</v>
      </c>
      <c r="E217">
        <v>5.77291453462436</v>
      </c>
      <c r="I217"/>
      <c r="J217"/>
      <c r="K217">
        <f>INDEX(Tabelle2!E:E,SUMPRODUCT((Tabelle2!$A$1:$A$1716=B217)*(Tabelle2!$C$1:$C$1716&lt;=A217)*(Tabelle2!$D$1:$D$1716&gt;=A217)*ROW(Tabelle2!$1:$1716)))</f>
        <v>190545</v>
      </c>
      <c r="L217">
        <f t="shared" si="3"/>
        <v>5.7729145346243671</v>
      </c>
    </row>
    <row r="218" spans="1:12" x14ac:dyDescent="0.25">
      <c r="A218" s="1">
        <v>45312</v>
      </c>
      <c r="B218">
        <v>8421</v>
      </c>
      <c r="C218" t="s">
        <v>230</v>
      </c>
      <c r="D218">
        <v>14</v>
      </c>
      <c r="E218">
        <v>11.0280506345067</v>
      </c>
      <c r="I218"/>
      <c r="J218"/>
      <c r="K218">
        <f>INDEX(Tabelle2!E:E,SUMPRODUCT((Tabelle2!$A$1:$A$1716=B218)*(Tabelle2!$C$1:$C$1716&lt;=A218)*(Tabelle2!$D$1:$D$1716&gt;=A218)*ROW(Tabelle2!$1:$1716)))</f>
        <v>126949</v>
      </c>
      <c r="L218">
        <f t="shared" si="3"/>
        <v>11.028050634506771</v>
      </c>
    </row>
    <row r="219" spans="1:12" x14ac:dyDescent="0.25">
      <c r="A219" s="1">
        <v>45312</v>
      </c>
      <c r="B219">
        <v>8425</v>
      </c>
      <c r="C219" t="s">
        <v>231</v>
      </c>
      <c r="D219">
        <v>13</v>
      </c>
      <c r="E219">
        <v>6.5087216870606603</v>
      </c>
      <c r="I219"/>
      <c r="J219"/>
      <c r="K219">
        <f>INDEX(Tabelle2!E:E,SUMPRODUCT((Tabelle2!$A$1:$A$1716=B219)*(Tabelle2!$C$1:$C$1716&lt;=A219)*(Tabelle2!$D$1:$D$1716&gt;=A219)*ROW(Tabelle2!$1:$1716)))</f>
        <v>199732</v>
      </c>
      <c r="L219">
        <f t="shared" si="3"/>
        <v>6.5087216870606621</v>
      </c>
    </row>
    <row r="220" spans="1:12" x14ac:dyDescent="0.25">
      <c r="A220" s="1">
        <v>45312</v>
      </c>
      <c r="B220">
        <v>8426</v>
      </c>
      <c r="C220" t="s">
        <v>232</v>
      </c>
      <c r="D220">
        <v>16</v>
      </c>
      <c r="E220">
        <v>7.8723111137352104</v>
      </c>
      <c r="I220"/>
      <c r="J220"/>
      <c r="K220">
        <f>INDEX(Tabelle2!E:E,SUMPRODUCT((Tabelle2!$A$1:$A$1716=B220)*(Tabelle2!$C$1:$C$1716&lt;=A220)*(Tabelle2!$D$1:$D$1716&gt;=A220)*ROW(Tabelle2!$1:$1716)))</f>
        <v>203244</v>
      </c>
      <c r="L220">
        <f t="shared" si="3"/>
        <v>7.8723111137352157</v>
      </c>
    </row>
    <row r="221" spans="1:12" x14ac:dyDescent="0.25">
      <c r="A221" s="1">
        <v>45312</v>
      </c>
      <c r="B221">
        <v>8435</v>
      </c>
      <c r="C221" t="s">
        <v>233</v>
      </c>
      <c r="D221">
        <v>7</v>
      </c>
      <c r="E221">
        <v>3.1980263608744299</v>
      </c>
      <c r="I221"/>
      <c r="J221"/>
      <c r="K221">
        <f>INDEX(Tabelle2!E:E,SUMPRODUCT((Tabelle2!$A$1:$A$1716=B221)*(Tabelle2!$C$1:$C$1716&lt;=A221)*(Tabelle2!$D$1:$D$1716&gt;=A221)*ROW(Tabelle2!$1:$1716)))</f>
        <v>218885</v>
      </c>
      <c r="L221">
        <f t="shared" si="3"/>
        <v>3.1980263608744317</v>
      </c>
    </row>
    <row r="222" spans="1:12" x14ac:dyDescent="0.25">
      <c r="A222" s="1">
        <v>45312</v>
      </c>
      <c r="B222">
        <v>8436</v>
      </c>
      <c r="C222" t="s">
        <v>234</v>
      </c>
      <c r="D222">
        <v>10</v>
      </c>
      <c r="E222">
        <v>3.4841870172223302</v>
      </c>
      <c r="I222"/>
      <c r="J222"/>
      <c r="K222">
        <f>INDEX(Tabelle2!E:E,SUMPRODUCT((Tabelle2!$A$1:$A$1716=B222)*(Tabelle2!$C$1:$C$1716&lt;=A222)*(Tabelle2!$D$1:$D$1716&gt;=A222)*ROW(Tabelle2!$1:$1716)))</f>
        <v>287011</v>
      </c>
      <c r="L222">
        <f t="shared" si="3"/>
        <v>3.4841870172223368</v>
      </c>
    </row>
    <row r="223" spans="1:12" x14ac:dyDescent="0.25">
      <c r="A223" s="1">
        <v>45312</v>
      </c>
      <c r="B223">
        <v>8437</v>
      </c>
      <c r="C223" t="s">
        <v>235</v>
      </c>
      <c r="D223">
        <v>11</v>
      </c>
      <c r="E223">
        <v>8.3507306889352808</v>
      </c>
      <c r="I223"/>
      <c r="J223"/>
      <c r="K223">
        <f>INDEX(Tabelle2!E:E,SUMPRODUCT((Tabelle2!$A$1:$A$1716=B223)*(Tabelle2!$C$1:$C$1716&lt;=A223)*(Tabelle2!$D$1:$D$1716&gt;=A223)*ROW(Tabelle2!$1:$1716)))</f>
        <v>131725</v>
      </c>
      <c r="L223">
        <f t="shared" si="3"/>
        <v>8.3507306889352826</v>
      </c>
    </row>
    <row r="224" spans="1:12" x14ac:dyDescent="0.25">
      <c r="A224" s="1">
        <v>45312</v>
      </c>
      <c r="B224">
        <v>9161</v>
      </c>
      <c r="C224" t="s">
        <v>237</v>
      </c>
      <c r="D224">
        <v>18</v>
      </c>
      <c r="E224">
        <v>13.0419661488523</v>
      </c>
      <c r="I224"/>
      <c r="J224"/>
      <c r="K224">
        <f>INDEX(Tabelle2!E:E,SUMPRODUCT((Tabelle2!$A$1:$A$1716=B224)*(Tabelle2!$C$1:$C$1716&lt;=A224)*(Tabelle2!$D$1:$D$1716&gt;=A224)*ROW(Tabelle2!$1:$1716)))</f>
        <v>138016</v>
      </c>
      <c r="L224">
        <f t="shared" si="3"/>
        <v>13.041966148852309</v>
      </c>
    </row>
    <row r="225" spans="1:12" x14ac:dyDescent="0.25">
      <c r="A225" s="1">
        <v>45312</v>
      </c>
      <c r="B225">
        <v>9162</v>
      </c>
      <c r="C225" t="s">
        <v>477</v>
      </c>
      <c r="D225">
        <v>171</v>
      </c>
      <c r="E225">
        <v>11.494191064375499</v>
      </c>
      <c r="I225"/>
      <c r="J225"/>
      <c r="K225">
        <f>INDEX(Tabelle2!E:E,SUMPRODUCT((Tabelle2!$A$1:$A$1716=B225)*(Tabelle2!$C$1:$C$1716&lt;=A225)*(Tabelle2!$D$1:$D$1716&gt;=A225)*ROW(Tabelle2!$1:$1716)))</f>
        <v>1487708</v>
      </c>
      <c r="L225">
        <f t="shared" si="3"/>
        <v>11.494191064375537</v>
      </c>
    </row>
    <row r="226" spans="1:12" x14ac:dyDescent="0.25">
      <c r="A226" s="1">
        <v>45312</v>
      </c>
      <c r="B226">
        <v>9163</v>
      </c>
      <c r="C226" t="s">
        <v>239</v>
      </c>
      <c r="D226">
        <v>4</v>
      </c>
      <c r="E226">
        <v>6.2984190968067004</v>
      </c>
      <c r="I226"/>
      <c r="J226"/>
      <c r="K226">
        <f>INDEX(Tabelle2!E:E,SUMPRODUCT((Tabelle2!$A$1:$A$1716=B226)*(Tabelle2!$C$1:$C$1716&lt;=A226)*(Tabelle2!$D$1:$D$1716&gt;=A226)*ROW(Tabelle2!$1:$1716)))</f>
        <v>63508</v>
      </c>
      <c r="L226">
        <f t="shared" si="3"/>
        <v>6.2984190968067022</v>
      </c>
    </row>
    <row r="227" spans="1:12" x14ac:dyDescent="0.25">
      <c r="A227" s="1">
        <v>45312</v>
      </c>
      <c r="B227">
        <v>9171</v>
      </c>
      <c r="C227" t="s">
        <v>478</v>
      </c>
      <c r="D227">
        <v>19</v>
      </c>
      <c r="E227">
        <v>16.946733740054899</v>
      </c>
      <c r="I227"/>
      <c r="J227"/>
      <c r="K227">
        <f>INDEX(Tabelle2!E:E,SUMPRODUCT((Tabelle2!$A$1:$A$1716=B227)*(Tabelle2!$C$1:$C$1716&lt;=A227)*(Tabelle2!$D$1:$D$1716&gt;=A227)*ROW(Tabelle2!$1:$1716)))</f>
        <v>112116</v>
      </c>
      <c r="L227">
        <f t="shared" si="3"/>
        <v>16.946733740054945</v>
      </c>
    </row>
    <row r="228" spans="1:12" x14ac:dyDescent="0.25">
      <c r="A228" s="1">
        <v>45312</v>
      </c>
      <c r="B228">
        <v>9172</v>
      </c>
      <c r="C228" t="s">
        <v>241</v>
      </c>
      <c r="D228">
        <v>5</v>
      </c>
      <c r="E228">
        <v>4.6997339950558796</v>
      </c>
      <c r="I228"/>
      <c r="J228"/>
      <c r="K228">
        <f>INDEX(Tabelle2!E:E,SUMPRODUCT((Tabelle2!$A$1:$A$1716=B228)*(Tabelle2!$C$1:$C$1716&lt;=A228)*(Tabelle2!$D$1:$D$1716&gt;=A228)*ROW(Tabelle2!$1:$1716)))</f>
        <v>106389</v>
      </c>
      <c r="L228">
        <f t="shared" si="3"/>
        <v>4.6997339950558796</v>
      </c>
    </row>
    <row r="229" spans="1:12" x14ac:dyDescent="0.25">
      <c r="A229" s="1">
        <v>45312</v>
      </c>
      <c r="B229">
        <v>9173</v>
      </c>
      <c r="C229" t="s">
        <v>479</v>
      </c>
      <c r="D229">
        <v>16</v>
      </c>
      <c r="E229">
        <v>12.507915165065301</v>
      </c>
      <c r="I229"/>
      <c r="J229"/>
      <c r="K229">
        <f>INDEX(Tabelle2!E:E,SUMPRODUCT((Tabelle2!$A$1:$A$1716=B229)*(Tabelle2!$C$1:$C$1716&lt;=A229)*(Tabelle2!$D$1:$D$1716&gt;=A229)*ROW(Tabelle2!$1:$1716)))</f>
        <v>127919</v>
      </c>
      <c r="L229">
        <f t="shared" si="3"/>
        <v>12.507915165065391</v>
      </c>
    </row>
    <row r="230" spans="1:12" x14ac:dyDescent="0.25">
      <c r="A230" s="1">
        <v>45312</v>
      </c>
      <c r="B230">
        <v>9174</v>
      </c>
      <c r="C230" t="s">
        <v>243</v>
      </c>
      <c r="D230">
        <v>28</v>
      </c>
      <c r="E230">
        <v>18.012338451839501</v>
      </c>
      <c r="I230"/>
      <c r="J230"/>
      <c r="K230">
        <f>INDEX(Tabelle2!E:E,SUMPRODUCT((Tabelle2!$A$1:$A$1716=B230)*(Tabelle2!$C$1:$C$1716&lt;=A230)*(Tabelle2!$D$1:$D$1716&gt;=A230)*ROW(Tabelle2!$1:$1716)))</f>
        <v>155449</v>
      </c>
      <c r="L230">
        <f t="shared" si="3"/>
        <v>18.012338451839508</v>
      </c>
    </row>
    <row r="231" spans="1:12" x14ac:dyDescent="0.25">
      <c r="A231" s="1">
        <v>45312</v>
      </c>
      <c r="B231">
        <v>9175</v>
      </c>
      <c r="C231" t="s">
        <v>244</v>
      </c>
      <c r="D231">
        <v>15</v>
      </c>
      <c r="E231">
        <v>10.3761707779361</v>
      </c>
      <c r="I231"/>
      <c r="J231"/>
      <c r="K231">
        <f>INDEX(Tabelle2!E:E,SUMPRODUCT((Tabelle2!$A$1:$A$1716=B231)*(Tabelle2!$C$1:$C$1716&lt;=A231)*(Tabelle2!$D$1:$D$1716&gt;=A231)*ROW(Tabelle2!$1:$1716)))</f>
        <v>144562</v>
      </c>
      <c r="L231">
        <f t="shared" si="3"/>
        <v>10.37617077793611</v>
      </c>
    </row>
    <row r="232" spans="1:12" x14ac:dyDescent="0.25">
      <c r="A232" s="1">
        <v>45312</v>
      </c>
      <c r="B232">
        <v>9176</v>
      </c>
      <c r="C232" t="s">
        <v>480</v>
      </c>
      <c r="D232">
        <v>17</v>
      </c>
      <c r="E232">
        <v>12.7213134381968</v>
      </c>
      <c r="I232"/>
      <c r="J232"/>
      <c r="K232">
        <f>INDEX(Tabelle2!E:E,SUMPRODUCT((Tabelle2!$A$1:$A$1716=B232)*(Tabelle2!$C$1:$C$1716&lt;=A232)*(Tabelle2!$D$1:$D$1716&gt;=A232)*ROW(Tabelle2!$1:$1716)))</f>
        <v>133634</v>
      </c>
      <c r="L232">
        <f t="shared" si="3"/>
        <v>12.721313438196866</v>
      </c>
    </row>
    <row r="233" spans="1:12" x14ac:dyDescent="0.25">
      <c r="A233" s="1">
        <v>45312</v>
      </c>
      <c r="B233">
        <v>9177</v>
      </c>
      <c r="C233" t="s">
        <v>246</v>
      </c>
      <c r="D233">
        <v>11</v>
      </c>
      <c r="E233">
        <v>7.8784145764993996</v>
      </c>
      <c r="I233"/>
      <c r="J233"/>
      <c r="K233">
        <f>INDEX(Tabelle2!E:E,SUMPRODUCT((Tabelle2!$A$1:$A$1716=B233)*(Tabelle2!$C$1:$C$1716&lt;=A233)*(Tabelle2!$D$1:$D$1716&gt;=A233)*ROW(Tabelle2!$1:$1716)))</f>
        <v>139622</v>
      </c>
      <c r="L233">
        <f t="shared" si="3"/>
        <v>7.8784145764994049</v>
      </c>
    </row>
    <row r="234" spans="1:12" x14ac:dyDescent="0.25">
      <c r="A234" s="1">
        <v>45312</v>
      </c>
      <c r="B234">
        <v>9178</v>
      </c>
      <c r="C234" t="s">
        <v>247</v>
      </c>
      <c r="D234">
        <v>2</v>
      </c>
      <c r="E234">
        <v>1.1040939804796099</v>
      </c>
      <c r="I234"/>
      <c r="J234"/>
      <c r="K234">
        <f>INDEX(Tabelle2!E:E,SUMPRODUCT((Tabelle2!$A$1:$A$1716=B234)*(Tabelle2!$C$1:$C$1716&lt;=A234)*(Tabelle2!$D$1:$D$1716&gt;=A234)*ROW(Tabelle2!$1:$1716)))</f>
        <v>181144</v>
      </c>
      <c r="L234">
        <f t="shared" si="3"/>
        <v>1.1040939804796184</v>
      </c>
    </row>
    <row r="235" spans="1:12" x14ac:dyDescent="0.25">
      <c r="A235" s="1">
        <v>45312</v>
      </c>
      <c r="B235">
        <v>9179</v>
      </c>
      <c r="C235" t="s">
        <v>481</v>
      </c>
      <c r="D235">
        <v>25</v>
      </c>
      <c r="E235">
        <v>11.4375122953257</v>
      </c>
      <c r="I235"/>
      <c r="J235"/>
      <c r="K235">
        <f>INDEX(Tabelle2!E:E,SUMPRODUCT((Tabelle2!$A$1:$A$1716=B235)*(Tabelle2!$C$1:$C$1716&lt;=A235)*(Tabelle2!$D$1:$D$1716&gt;=A235)*ROW(Tabelle2!$1:$1716)))</f>
        <v>218579</v>
      </c>
      <c r="L235">
        <f t="shared" si="3"/>
        <v>11.437512295325718</v>
      </c>
    </row>
    <row r="236" spans="1:12" x14ac:dyDescent="0.25">
      <c r="A236" s="1">
        <v>45312</v>
      </c>
      <c r="B236">
        <v>9180</v>
      </c>
      <c r="C236" t="s">
        <v>249</v>
      </c>
      <c r="D236">
        <v>8</v>
      </c>
      <c r="E236">
        <v>9.0670051681929404</v>
      </c>
      <c r="I236"/>
      <c r="J236"/>
      <c r="K236">
        <f>INDEX(Tabelle2!E:E,SUMPRODUCT((Tabelle2!$A$1:$A$1716=B236)*(Tabelle2!$C$1:$C$1716&lt;=A236)*(Tabelle2!$D$1:$D$1716&gt;=A236)*ROW(Tabelle2!$1:$1716)))</f>
        <v>88232</v>
      </c>
      <c r="L236">
        <f t="shared" si="3"/>
        <v>9.0670051681929458</v>
      </c>
    </row>
    <row r="237" spans="1:12" x14ac:dyDescent="0.25">
      <c r="A237" s="1">
        <v>45312</v>
      </c>
      <c r="B237">
        <v>9181</v>
      </c>
      <c r="C237" t="s">
        <v>250</v>
      </c>
      <c r="D237">
        <v>8</v>
      </c>
      <c r="E237">
        <v>6.5862051932227903</v>
      </c>
      <c r="I237"/>
      <c r="J237"/>
      <c r="K237">
        <f>INDEX(Tabelle2!E:E,SUMPRODUCT((Tabelle2!$A$1:$A$1716=B237)*(Tabelle2!$C$1:$C$1716&lt;=A237)*(Tabelle2!$D$1:$D$1716&gt;=A237)*ROW(Tabelle2!$1:$1716)))</f>
        <v>121466</v>
      </c>
      <c r="L237">
        <f t="shared" si="3"/>
        <v>6.5862051932227956</v>
      </c>
    </row>
    <row r="238" spans="1:12" x14ac:dyDescent="0.25">
      <c r="A238" s="1">
        <v>45312</v>
      </c>
      <c r="B238">
        <v>9182</v>
      </c>
      <c r="C238" t="s">
        <v>251</v>
      </c>
      <c r="D238">
        <v>4</v>
      </c>
      <c r="E238">
        <v>4.0008801936426002</v>
      </c>
      <c r="I238"/>
      <c r="J238"/>
      <c r="K238">
        <f>INDEX(Tabelle2!E:E,SUMPRODUCT((Tabelle2!$A$1:$A$1716=B238)*(Tabelle2!$C$1:$C$1716&lt;=A238)*(Tabelle2!$D$1:$D$1716&gt;=A238)*ROW(Tabelle2!$1:$1716)))</f>
        <v>99978</v>
      </c>
      <c r="L238">
        <f t="shared" si="3"/>
        <v>4.0008801936426011</v>
      </c>
    </row>
    <row r="239" spans="1:12" x14ac:dyDescent="0.25">
      <c r="A239" s="1">
        <v>45312</v>
      </c>
      <c r="B239">
        <v>9183</v>
      </c>
      <c r="C239" t="s">
        <v>482</v>
      </c>
      <c r="D239">
        <v>12</v>
      </c>
      <c r="E239">
        <v>10.2035610428039</v>
      </c>
      <c r="I239"/>
      <c r="J239"/>
      <c r="K239">
        <f>INDEX(Tabelle2!E:E,SUMPRODUCT((Tabelle2!$A$1:$A$1716=B239)*(Tabelle2!$C$1:$C$1716&lt;=A239)*(Tabelle2!$D$1:$D$1716&gt;=A239)*ROW(Tabelle2!$1:$1716)))</f>
        <v>117606</v>
      </c>
      <c r="L239">
        <f t="shared" si="3"/>
        <v>10.203561042803939</v>
      </c>
    </row>
    <row r="240" spans="1:12" x14ac:dyDescent="0.25">
      <c r="A240" s="1">
        <v>45312</v>
      </c>
      <c r="B240">
        <v>9184</v>
      </c>
      <c r="C240" t="s">
        <v>483</v>
      </c>
      <c r="D240">
        <v>37</v>
      </c>
      <c r="E240">
        <v>10.576354130637901</v>
      </c>
      <c r="I240"/>
      <c r="J240"/>
      <c r="K240">
        <f>INDEX(Tabelle2!E:E,SUMPRODUCT((Tabelle2!$A$1:$A$1716=B240)*(Tabelle2!$C$1:$C$1716&lt;=A240)*(Tabelle2!$D$1:$D$1716&gt;=A240)*ROW(Tabelle2!$1:$1716)))</f>
        <v>349837</v>
      </c>
      <c r="L240">
        <f t="shared" si="3"/>
        <v>10.576354130637982</v>
      </c>
    </row>
    <row r="241" spans="1:12" x14ac:dyDescent="0.25">
      <c r="A241" s="1">
        <v>45312</v>
      </c>
      <c r="B241">
        <v>9185</v>
      </c>
      <c r="C241" t="s">
        <v>254</v>
      </c>
      <c r="D241">
        <v>6</v>
      </c>
      <c r="E241">
        <v>6.09118504004954</v>
      </c>
      <c r="I241"/>
      <c r="J241"/>
      <c r="K241">
        <f>INDEX(Tabelle2!E:E,SUMPRODUCT((Tabelle2!$A$1:$A$1716=B241)*(Tabelle2!$C$1:$C$1716&lt;=A241)*(Tabelle2!$D$1:$D$1716&gt;=A241)*ROW(Tabelle2!$1:$1716)))</f>
        <v>98503</v>
      </c>
      <c r="L241">
        <f t="shared" si="3"/>
        <v>6.0911850400495418</v>
      </c>
    </row>
    <row r="242" spans="1:12" x14ac:dyDescent="0.25">
      <c r="A242" s="1">
        <v>45312</v>
      </c>
      <c r="B242">
        <v>9186</v>
      </c>
      <c r="C242" t="s">
        <v>255</v>
      </c>
      <c r="D242">
        <v>15</v>
      </c>
      <c r="E242">
        <v>11.5587337792435</v>
      </c>
      <c r="I242"/>
      <c r="J242"/>
      <c r="K242">
        <f>INDEX(Tabelle2!E:E,SUMPRODUCT((Tabelle2!$A$1:$A$1716=B242)*(Tabelle2!$C$1:$C$1716&lt;=A242)*(Tabelle2!$D$1:$D$1716&gt;=A242)*ROW(Tabelle2!$1:$1716)))</f>
        <v>129772</v>
      </c>
      <c r="L242">
        <f t="shared" si="3"/>
        <v>11.558733779243596</v>
      </c>
    </row>
    <row r="243" spans="1:12" x14ac:dyDescent="0.25">
      <c r="A243" s="1">
        <v>45312</v>
      </c>
      <c r="B243">
        <v>9187</v>
      </c>
      <c r="C243" t="s">
        <v>256</v>
      </c>
      <c r="D243">
        <v>29</v>
      </c>
      <c r="E243">
        <v>11.011250460384099</v>
      </c>
      <c r="I243"/>
      <c r="J243"/>
      <c r="K243">
        <f>INDEX(Tabelle2!E:E,SUMPRODUCT((Tabelle2!$A$1:$A$1716=B243)*(Tabelle2!$C$1:$C$1716&lt;=A243)*(Tabelle2!$D$1:$D$1716&gt;=A243)*ROW(Tabelle2!$1:$1716)))</f>
        <v>263367</v>
      </c>
      <c r="L243">
        <f t="shared" si="3"/>
        <v>11.011250460384179</v>
      </c>
    </row>
    <row r="244" spans="1:12" x14ac:dyDescent="0.25">
      <c r="A244" s="1">
        <v>45312</v>
      </c>
      <c r="B244">
        <v>9188</v>
      </c>
      <c r="C244" t="s">
        <v>257</v>
      </c>
      <c r="D244">
        <v>11</v>
      </c>
      <c r="E244">
        <v>8.0440521547090604</v>
      </c>
      <c r="I244"/>
      <c r="J244"/>
      <c r="K244">
        <f>INDEX(Tabelle2!E:E,SUMPRODUCT((Tabelle2!$A$1:$A$1716=B244)*(Tabelle2!$C$1:$C$1716&lt;=A244)*(Tabelle2!$D$1:$D$1716&gt;=A244)*ROW(Tabelle2!$1:$1716)))</f>
        <v>136747</v>
      </c>
      <c r="L244">
        <f t="shared" si="3"/>
        <v>8.0440521547090604</v>
      </c>
    </row>
    <row r="245" spans="1:12" x14ac:dyDescent="0.25">
      <c r="A245" s="1">
        <v>45312</v>
      </c>
      <c r="B245">
        <v>9189</v>
      </c>
      <c r="C245" t="s">
        <v>258</v>
      </c>
      <c r="D245">
        <v>17</v>
      </c>
      <c r="E245">
        <v>9.5266381614709097</v>
      </c>
      <c r="I245"/>
      <c r="J245"/>
      <c r="K245">
        <f>INDEX(Tabelle2!E:E,SUMPRODUCT((Tabelle2!$A$1:$A$1716=B245)*(Tabelle2!$C$1:$C$1716&lt;=A245)*(Tabelle2!$D$1:$D$1716&gt;=A245)*ROW(Tabelle2!$1:$1716)))</f>
        <v>178447</v>
      </c>
      <c r="L245">
        <f t="shared" si="3"/>
        <v>9.5266381614709132</v>
      </c>
    </row>
    <row r="246" spans="1:12" x14ac:dyDescent="0.25">
      <c r="A246" s="1">
        <v>45312</v>
      </c>
      <c r="B246">
        <v>9190</v>
      </c>
      <c r="C246" t="s">
        <v>259</v>
      </c>
      <c r="D246">
        <v>7</v>
      </c>
      <c r="E246">
        <v>5.1228758361265196</v>
      </c>
      <c r="I246"/>
      <c r="J246"/>
      <c r="K246">
        <f>INDEX(Tabelle2!E:E,SUMPRODUCT((Tabelle2!$A$1:$A$1716=B246)*(Tabelle2!$C$1:$C$1716&lt;=A246)*(Tabelle2!$D$1:$D$1716&gt;=A246)*ROW(Tabelle2!$1:$1716)))</f>
        <v>136642</v>
      </c>
      <c r="L246">
        <f t="shared" si="3"/>
        <v>5.1228758361265205</v>
      </c>
    </row>
    <row r="247" spans="1:12" x14ac:dyDescent="0.25">
      <c r="A247" s="1">
        <v>45312</v>
      </c>
      <c r="B247">
        <v>9261</v>
      </c>
      <c r="C247" t="s">
        <v>260</v>
      </c>
      <c r="D247">
        <v>12</v>
      </c>
      <c r="E247">
        <v>16.4046479835953</v>
      </c>
      <c r="I247"/>
      <c r="J247"/>
      <c r="K247">
        <f>INDEX(Tabelle2!E:E,SUMPRODUCT((Tabelle2!$A$1:$A$1716=B247)*(Tabelle2!$C$1:$C$1716&lt;=A247)*(Tabelle2!$D$1:$D$1716&gt;=A247)*ROW(Tabelle2!$1:$1716)))</f>
        <v>73150</v>
      </c>
      <c r="L247">
        <f t="shared" si="3"/>
        <v>16.404647983595353</v>
      </c>
    </row>
    <row r="248" spans="1:12" x14ac:dyDescent="0.25">
      <c r="A248" s="1">
        <v>45312</v>
      </c>
      <c r="B248">
        <v>9262</v>
      </c>
      <c r="C248" t="s">
        <v>261</v>
      </c>
      <c r="D248">
        <v>7</v>
      </c>
      <c r="E248">
        <v>13.184412257736399</v>
      </c>
      <c r="I248"/>
      <c r="J248"/>
      <c r="K248">
        <f>INDEX(Tabelle2!E:E,SUMPRODUCT((Tabelle2!$A$1:$A$1716=B248)*(Tabelle2!$C$1:$C$1716&lt;=A248)*(Tabelle2!$D$1:$D$1716&gt;=A248)*ROW(Tabelle2!$1:$1716)))</f>
        <v>53093</v>
      </c>
      <c r="L248">
        <f t="shared" si="3"/>
        <v>13.184412257736424</v>
      </c>
    </row>
    <row r="249" spans="1:12" x14ac:dyDescent="0.25">
      <c r="A249" s="1">
        <v>45312</v>
      </c>
      <c r="B249">
        <v>9263</v>
      </c>
      <c r="C249" t="s">
        <v>262</v>
      </c>
      <c r="D249">
        <v>4</v>
      </c>
      <c r="E249">
        <v>8.3587578885777507</v>
      </c>
      <c r="I249"/>
      <c r="J249"/>
      <c r="K249">
        <f>INDEX(Tabelle2!E:E,SUMPRODUCT((Tabelle2!$A$1:$A$1716=B249)*(Tabelle2!$C$1:$C$1716&lt;=A249)*(Tabelle2!$D$1:$D$1716&gt;=A249)*ROW(Tabelle2!$1:$1716)))</f>
        <v>47854</v>
      </c>
      <c r="L249">
        <f t="shared" si="3"/>
        <v>8.358757888577756</v>
      </c>
    </row>
    <row r="250" spans="1:12" x14ac:dyDescent="0.25">
      <c r="A250" s="1">
        <v>45312</v>
      </c>
      <c r="B250">
        <v>9271</v>
      </c>
      <c r="C250" t="s">
        <v>263</v>
      </c>
      <c r="D250">
        <v>9</v>
      </c>
      <c r="E250">
        <v>7.4675782643688597</v>
      </c>
      <c r="I250"/>
      <c r="J250"/>
      <c r="K250">
        <f>INDEX(Tabelle2!E:E,SUMPRODUCT((Tabelle2!$A$1:$A$1716=B250)*(Tabelle2!$C$1:$C$1716&lt;=A250)*(Tabelle2!$D$1:$D$1716&gt;=A250)*ROW(Tabelle2!$1:$1716)))</f>
        <v>120521</v>
      </c>
      <c r="L250">
        <f t="shared" si="3"/>
        <v>7.4675782643688651</v>
      </c>
    </row>
    <row r="251" spans="1:12" x14ac:dyDescent="0.25">
      <c r="A251" s="1">
        <v>45312</v>
      </c>
      <c r="B251">
        <v>9272</v>
      </c>
      <c r="C251" t="s">
        <v>264</v>
      </c>
      <c r="D251">
        <v>14</v>
      </c>
      <c r="E251">
        <v>17.804456201037699</v>
      </c>
      <c r="I251"/>
      <c r="J251"/>
      <c r="K251">
        <f>INDEX(Tabelle2!E:E,SUMPRODUCT((Tabelle2!$A$1:$A$1716=B251)*(Tabelle2!$C$1:$C$1716&lt;=A251)*(Tabelle2!$D$1:$D$1716&gt;=A251)*ROW(Tabelle2!$1:$1716)))</f>
        <v>78632</v>
      </c>
      <c r="L251">
        <f t="shared" si="3"/>
        <v>17.804456201037745</v>
      </c>
    </row>
    <row r="252" spans="1:12" x14ac:dyDescent="0.25">
      <c r="A252" s="1">
        <v>45312</v>
      </c>
      <c r="B252">
        <v>9273</v>
      </c>
      <c r="C252" t="s">
        <v>265</v>
      </c>
      <c r="D252">
        <v>17</v>
      </c>
      <c r="E252">
        <v>13.720853275651899</v>
      </c>
      <c r="I252"/>
      <c r="J252"/>
      <c r="K252">
        <f>INDEX(Tabelle2!E:E,SUMPRODUCT((Tabelle2!$A$1:$A$1716=B252)*(Tabelle2!$C$1:$C$1716&lt;=A252)*(Tabelle2!$D$1:$D$1716&gt;=A252)*ROW(Tabelle2!$1:$1716)))</f>
        <v>123899</v>
      </c>
      <c r="L252">
        <f t="shared" si="3"/>
        <v>13.720853275651942</v>
      </c>
    </row>
    <row r="253" spans="1:12" x14ac:dyDescent="0.25">
      <c r="A253" s="1">
        <v>45312</v>
      </c>
      <c r="B253">
        <v>9274</v>
      </c>
      <c r="C253" t="s">
        <v>266</v>
      </c>
      <c r="D253">
        <v>46</v>
      </c>
      <c r="E253">
        <v>28.337162957167699</v>
      </c>
      <c r="I253"/>
      <c r="J253"/>
      <c r="K253">
        <f>INDEX(Tabelle2!E:E,SUMPRODUCT((Tabelle2!$A$1:$A$1716=B253)*(Tabelle2!$C$1:$C$1716&lt;=A253)*(Tabelle2!$D$1:$D$1716&gt;=A253)*ROW(Tabelle2!$1:$1716)))</f>
        <v>162331</v>
      </c>
      <c r="L253">
        <f t="shared" si="3"/>
        <v>28.337162957167759</v>
      </c>
    </row>
    <row r="254" spans="1:12" x14ac:dyDescent="0.25">
      <c r="A254" s="1">
        <v>45312</v>
      </c>
      <c r="B254">
        <v>9275</v>
      </c>
      <c r="C254" t="s">
        <v>267</v>
      </c>
      <c r="D254">
        <v>13</v>
      </c>
      <c r="E254">
        <v>6.6979236436704603</v>
      </c>
      <c r="I254"/>
      <c r="J254"/>
      <c r="K254">
        <f>INDEX(Tabelle2!E:E,SUMPRODUCT((Tabelle2!$A$1:$A$1716=B254)*(Tabelle2!$C$1:$C$1716&lt;=A254)*(Tabelle2!$D$1:$D$1716&gt;=A254)*ROW(Tabelle2!$1:$1716)))</f>
        <v>194090</v>
      </c>
      <c r="L254">
        <f t="shared" si="3"/>
        <v>6.6979236436704612</v>
      </c>
    </row>
    <row r="255" spans="1:12" x14ac:dyDescent="0.25">
      <c r="A255" s="1">
        <v>45312</v>
      </c>
      <c r="B255">
        <v>9276</v>
      </c>
      <c r="C255" t="s">
        <v>268</v>
      </c>
      <c r="D255">
        <v>6</v>
      </c>
      <c r="E255">
        <v>7.77443764901005</v>
      </c>
      <c r="I255"/>
      <c r="J255"/>
      <c r="K255">
        <f>INDEX(Tabelle2!E:E,SUMPRODUCT((Tabelle2!$A$1:$A$1716=B255)*(Tabelle2!$C$1:$C$1716&lt;=A255)*(Tabelle2!$D$1:$D$1716&gt;=A255)*ROW(Tabelle2!$1:$1716)))</f>
        <v>77176</v>
      </c>
      <c r="L255">
        <f t="shared" si="3"/>
        <v>7.7744376490100553</v>
      </c>
    </row>
    <row r="256" spans="1:12" x14ac:dyDescent="0.25">
      <c r="A256" s="1">
        <v>45312</v>
      </c>
      <c r="B256">
        <v>9277</v>
      </c>
      <c r="C256" t="s">
        <v>269</v>
      </c>
      <c r="D256">
        <v>12</v>
      </c>
      <c r="E256">
        <v>9.8157903347184501</v>
      </c>
      <c r="I256"/>
      <c r="J256"/>
      <c r="K256">
        <f>INDEX(Tabelle2!E:E,SUMPRODUCT((Tabelle2!$A$1:$A$1716=B256)*(Tabelle2!$C$1:$C$1716&lt;=A256)*(Tabelle2!$D$1:$D$1716&gt;=A256)*ROW(Tabelle2!$1:$1716)))</f>
        <v>122252</v>
      </c>
      <c r="L256">
        <f t="shared" si="3"/>
        <v>9.8157903347184501</v>
      </c>
    </row>
    <row r="257" spans="1:12" x14ac:dyDescent="0.25">
      <c r="A257" s="1">
        <v>45312</v>
      </c>
      <c r="B257">
        <v>9278</v>
      </c>
      <c r="C257" t="s">
        <v>270</v>
      </c>
      <c r="D257">
        <v>25</v>
      </c>
      <c r="E257">
        <v>24.414539346471599</v>
      </c>
      <c r="I257"/>
      <c r="J257"/>
      <c r="K257">
        <f>INDEX(Tabelle2!E:E,SUMPRODUCT((Tabelle2!$A$1:$A$1716=B257)*(Tabelle2!$C$1:$C$1716&lt;=A257)*(Tabelle2!$D$1:$D$1716&gt;=A257)*ROW(Tabelle2!$1:$1716)))</f>
        <v>102398</v>
      </c>
      <c r="L257">
        <f t="shared" si="3"/>
        <v>24.414539346471614</v>
      </c>
    </row>
    <row r="258" spans="1:12" x14ac:dyDescent="0.25">
      <c r="A258" s="1">
        <v>45312</v>
      </c>
      <c r="B258">
        <v>9279</v>
      </c>
      <c r="C258" t="s">
        <v>271</v>
      </c>
      <c r="D258">
        <v>19</v>
      </c>
      <c r="E258">
        <v>19.378856647457798</v>
      </c>
      <c r="I258"/>
      <c r="J258"/>
      <c r="K258">
        <f>INDEX(Tabelle2!E:E,SUMPRODUCT((Tabelle2!$A$1:$A$1716=B258)*(Tabelle2!$C$1:$C$1716&lt;=A258)*(Tabelle2!$D$1:$D$1716&gt;=A258)*ROW(Tabelle2!$1:$1716)))</f>
        <v>98045</v>
      </c>
      <c r="L258">
        <f t="shared" si="3"/>
        <v>19.378856647457798</v>
      </c>
    </row>
    <row r="259" spans="1:12" x14ac:dyDescent="0.25">
      <c r="A259" s="1">
        <v>45312</v>
      </c>
      <c r="B259">
        <v>9361</v>
      </c>
      <c r="C259" t="s">
        <v>272</v>
      </c>
      <c r="D259">
        <v>8</v>
      </c>
      <c r="E259">
        <v>19.050340524836798</v>
      </c>
      <c r="I259"/>
      <c r="J259"/>
      <c r="K259">
        <f>INDEX(Tabelle2!E:E,SUMPRODUCT((Tabelle2!$A$1:$A$1716=B259)*(Tabelle2!$C$1:$C$1716&lt;=A259)*(Tabelle2!$D$1:$D$1716&gt;=A259)*ROW(Tabelle2!$1:$1716)))</f>
        <v>41994</v>
      </c>
      <c r="L259">
        <f t="shared" ref="L259:L322" si="4">D259/K259*100000</f>
        <v>19.05034052483688</v>
      </c>
    </row>
    <row r="260" spans="1:12" x14ac:dyDescent="0.25">
      <c r="A260" s="1">
        <v>45312</v>
      </c>
      <c r="B260">
        <v>9362</v>
      </c>
      <c r="C260" t="s">
        <v>273</v>
      </c>
      <c r="D260">
        <v>14</v>
      </c>
      <c r="E260">
        <v>9.1180263380703597</v>
      </c>
      <c r="I260"/>
      <c r="J260"/>
      <c r="K260">
        <f>INDEX(Tabelle2!E:E,SUMPRODUCT((Tabelle2!$A$1:$A$1716=B260)*(Tabelle2!$C$1:$C$1716&lt;=A260)*(Tabelle2!$D$1:$D$1716&gt;=A260)*ROW(Tabelle2!$1:$1716)))</f>
        <v>153542</v>
      </c>
      <c r="L260">
        <f t="shared" si="4"/>
        <v>9.118026338070365</v>
      </c>
    </row>
    <row r="261" spans="1:12" x14ac:dyDescent="0.25">
      <c r="A261" s="1">
        <v>45312</v>
      </c>
      <c r="B261">
        <v>9363</v>
      </c>
      <c r="C261" t="s">
        <v>274</v>
      </c>
      <c r="D261">
        <v>3</v>
      </c>
      <c r="E261">
        <v>7.0634771143341499</v>
      </c>
      <c r="I261"/>
      <c r="J261"/>
      <c r="K261">
        <f>INDEX(Tabelle2!E:E,SUMPRODUCT((Tabelle2!$A$1:$A$1716=B261)*(Tabelle2!$C$1:$C$1716&lt;=A261)*(Tabelle2!$D$1:$D$1716&gt;=A261)*ROW(Tabelle2!$1:$1716)))</f>
        <v>42472</v>
      </c>
      <c r="L261">
        <f t="shared" si="4"/>
        <v>7.0634771143341499</v>
      </c>
    </row>
    <row r="262" spans="1:12" x14ac:dyDescent="0.25">
      <c r="A262" s="1">
        <v>45312</v>
      </c>
      <c r="B262">
        <v>9371</v>
      </c>
      <c r="C262" t="s">
        <v>275</v>
      </c>
      <c r="D262">
        <v>14</v>
      </c>
      <c r="E262">
        <v>13.5557771817539</v>
      </c>
      <c r="I262"/>
      <c r="J262"/>
      <c r="K262">
        <f>INDEX(Tabelle2!E:E,SUMPRODUCT((Tabelle2!$A$1:$A$1716=B262)*(Tabelle2!$C$1:$C$1716&lt;=A262)*(Tabelle2!$D$1:$D$1716&gt;=A262)*ROW(Tabelle2!$1:$1716)))</f>
        <v>103277</v>
      </c>
      <c r="L262">
        <f t="shared" si="4"/>
        <v>13.555777181753923</v>
      </c>
    </row>
    <row r="263" spans="1:12" x14ac:dyDescent="0.25">
      <c r="A263" s="1">
        <v>45312</v>
      </c>
      <c r="B263">
        <v>9372</v>
      </c>
      <c r="C263" t="s">
        <v>276</v>
      </c>
      <c r="D263">
        <v>16</v>
      </c>
      <c r="E263">
        <v>12.4567905079256</v>
      </c>
      <c r="I263"/>
      <c r="J263"/>
      <c r="K263">
        <f>INDEX(Tabelle2!E:E,SUMPRODUCT((Tabelle2!$A$1:$A$1716=B263)*(Tabelle2!$C$1:$C$1716&lt;=A263)*(Tabelle2!$D$1:$D$1716&gt;=A263)*ROW(Tabelle2!$1:$1716)))</f>
        <v>128444</v>
      </c>
      <c r="L263">
        <f t="shared" si="4"/>
        <v>12.456790507925632</v>
      </c>
    </row>
    <row r="264" spans="1:12" x14ac:dyDescent="0.25">
      <c r="A264" s="1">
        <v>45312</v>
      </c>
      <c r="B264">
        <v>9373</v>
      </c>
      <c r="C264" t="s">
        <v>277</v>
      </c>
      <c r="D264">
        <v>12</v>
      </c>
      <c r="E264">
        <v>8.8195087533624292</v>
      </c>
      <c r="I264"/>
      <c r="J264"/>
      <c r="K264">
        <f>INDEX(Tabelle2!E:E,SUMPRODUCT((Tabelle2!$A$1:$A$1716=B264)*(Tabelle2!$C$1:$C$1716&lt;=A264)*(Tabelle2!$D$1:$D$1716&gt;=A264)*ROW(Tabelle2!$1:$1716)))</f>
        <v>136062</v>
      </c>
      <c r="L264">
        <f t="shared" si="4"/>
        <v>8.8195087533624381</v>
      </c>
    </row>
    <row r="265" spans="1:12" x14ac:dyDescent="0.25">
      <c r="A265" s="1">
        <v>45312</v>
      </c>
      <c r="B265">
        <v>9374</v>
      </c>
      <c r="C265" t="s">
        <v>278</v>
      </c>
      <c r="D265">
        <v>10</v>
      </c>
      <c r="E265">
        <v>10.544296589974399</v>
      </c>
      <c r="I265"/>
      <c r="J265"/>
      <c r="K265">
        <f>INDEX(Tabelle2!E:E,SUMPRODUCT((Tabelle2!$A$1:$A$1716=B265)*(Tabelle2!$C$1:$C$1716&lt;=A265)*(Tabelle2!$D$1:$D$1716&gt;=A265)*ROW(Tabelle2!$1:$1716)))</f>
        <v>94838</v>
      </c>
      <c r="L265">
        <f t="shared" si="4"/>
        <v>10.544296589974483</v>
      </c>
    </row>
    <row r="266" spans="1:12" x14ac:dyDescent="0.25">
      <c r="A266" s="1">
        <v>45312</v>
      </c>
      <c r="B266">
        <v>9375</v>
      </c>
      <c r="C266" t="s">
        <v>279</v>
      </c>
      <c r="D266">
        <v>7</v>
      </c>
      <c r="E266">
        <v>3.5856063516455299</v>
      </c>
      <c r="I266"/>
      <c r="J266"/>
      <c r="K266">
        <f>INDEX(Tabelle2!E:E,SUMPRODUCT((Tabelle2!$A$1:$A$1716=B266)*(Tabelle2!$C$1:$C$1716&lt;=A266)*(Tabelle2!$D$1:$D$1716&gt;=A266)*ROW(Tabelle2!$1:$1716)))</f>
        <v>195225</v>
      </c>
      <c r="L266">
        <f t="shared" si="4"/>
        <v>3.585606351645537</v>
      </c>
    </row>
    <row r="267" spans="1:12" x14ac:dyDescent="0.25">
      <c r="A267" s="1">
        <v>45312</v>
      </c>
      <c r="B267">
        <v>9376</v>
      </c>
      <c r="C267" t="s">
        <v>280</v>
      </c>
      <c r="D267">
        <v>14</v>
      </c>
      <c r="E267">
        <v>9.3809258973860707</v>
      </c>
      <c r="I267"/>
      <c r="J267"/>
      <c r="K267">
        <f>INDEX(Tabelle2!E:E,SUMPRODUCT((Tabelle2!$A$1:$A$1716=B267)*(Tabelle2!$C$1:$C$1716&lt;=A267)*(Tabelle2!$D$1:$D$1716&gt;=A267)*ROW(Tabelle2!$1:$1716)))</f>
        <v>149239</v>
      </c>
      <c r="L267">
        <f t="shared" si="4"/>
        <v>9.3809258973860725</v>
      </c>
    </row>
    <row r="268" spans="1:12" x14ac:dyDescent="0.25">
      <c r="A268" s="1">
        <v>45312</v>
      </c>
      <c r="B268">
        <v>9377</v>
      </c>
      <c r="C268" t="s">
        <v>281</v>
      </c>
      <c r="D268">
        <v>15</v>
      </c>
      <c r="E268">
        <v>20.935685573916899</v>
      </c>
      <c r="I268"/>
      <c r="J268"/>
      <c r="K268">
        <f>INDEX(Tabelle2!E:E,SUMPRODUCT((Tabelle2!$A$1:$A$1716=B268)*(Tabelle2!$C$1:$C$1716&lt;=A268)*(Tabelle2!$D$1:$D$1716&gt;=A268)*ROW(Tabelle2!$1:$1716)))</f>
        <v>71648</v>
      </c>
      <c r="L268">
        <f t="shared" si="4"/>
        <v>20.935685573916928</v>
      </c>
    </row>
    <row r="269" spans="1:12" x14ac:dyDescent="0.25">
      <c r="A269" s="1">
        <v>45312</v>
      </c>
      <c r="B269">
        <v>9461</v>
      </c>
      <c r="C269" t="s">
        <v>282</v>
      </c>
      <c r="D269">
        <v>14</v>
      </c>
      <c r="E269">
        <v>18.006662465112001</v>
      </c>
      <c r="I269"/>
      <c r="J269"/>
      <c r="K269">
        <f>INDEX(Tabelle2!E:E,SUMPRODUCT((Tabelle2!$A$1:$A$1716=B269)*(Tabelle2!$C$1:$C$1716&lt;=A269)*(Tabelle2!$D$1:$D$1716&gt;=A269)*ROW(Tabelle2!$1:$1716)))</f>
        <v>77749</v>
      </c>
      <c r="L269">
        <f t="shared" si="4"/>
        <v>18.006662465112093</v>
      </c>
    </row>
    <row r="270" spans="1:12" x14ac:dyDescent="0.25">
      <c r="A270" s="1">
        <v>45312</v>
      </c>
      <c r="B270">
        <v>9462</v>
      </c>
      <c r="C270" t="s">
        <v>283</v>
      </c>
      <c r="D270">
        <v>10</v>
      </c>
      <c r="E270">
        <v>13.530151943606301</v>
      </c>
      <c r="I270"/>
      <c r="J270"/>
      <c r="K270">
        <f>INDEX(Tabelle2!E:E,SUMPRODUCT((Tabelle2!$A$1:$A$1716=B270)*(Tabelle2!$C$1:$C$1716&lt;=A270)*(Tabelle2!$D$1:$D$1716&gt;=A270)*ROW(Tabelle2!$1:$1716)))</f>
        <v>73909</v>
      </c>
      <c r="L270">
        <f t="shared" si="4"/>
        <v>13.530151943606327</v>
      </c>
    </row>
    <row r="271" spans="1:12" x14ac:dyDescent="0.25">
      <c r="A271" s="1">
        <v>45312</v>
      </c>
      <c r="B271">
        <v>9463</v>
      </c>
      <c r="C271" t="s">
        <v>284</v>
      </c>
      <c r="D271">
        <v>0</v>
      </c>
      <c r="E271">
        <v>0</v>
      </c>
      <c r="I271"/>
      <c r="J271"/>
      <c r="K271">
        <f>INDEX(Tabelle2!E:E,SUMPRODUCT((Tabelle2!$A$1:$A$1716=B271)*(Tabelle2!$C$1:$C$1716&lt;=A271)*(Tabelle2!$D$1:$D$1716&gt;=A271)*ROW(Tabelle2!$1:$1716)))</f>
        <v>40955</v>
      </c>
      <c r="L271">
        <f t="shared" si="4"/>
        <v>0</v>
      </c>
    </row>
    <row r="272" spans="1:12" x14ac:dyDescent="0.25">
      <c r="A272" s="1">
        <v>45312</v>
      </c>
      <c r="B272">
        <v>9464</v>
      </c>
      <c r="C272" t="s">
        <v>285</v>
      </c>
      <c r="D272">
        <v>9</v>
      </c>
      <c r="E272">
        <v>19.944598337950101</v>
      </c>
      <c r="I272"/>
      <c r="J272"/>
      <c r="K272">
        <f>INDEX(Tabelle2!E:E,SUMPRODUCT((Tabelle2!$A$1:$A$1716=B272)*(Tabelle2!$C$1:$C$1716&lt;=A272)*(Tabelle2!$D$1:$D$1716&gt;=A272)*ROW(Tabelle2!$1:$1716)))</f>
        <v>45125</v>
      </c>
      <c r="L272">
        <f t="shared" si="4"/>
        <v>19.94459833795014</v>
      </c>
    </row>
    <row r="273" spans="1:12" x14ac:dyDescent="0.25">
      <c r="A273" s="1">
        <v>45312</v>
      </c>
      <c r="B273">
        <v>9471</v>
      </c>
      <c r="C273" t="s">
        <v>286</v>
      </c>
      <c r="D273">
        <v>19</v>
      </c>
      <c r="E273">
        <v>12.8641746277852</v>
      </c>
      <c r="I273"/>
      <c r="J273"/>
      <c r="K273">
        <f>INDEX(Tabelle2!E:E,SUMPRODUCT((Tabelle2!$A$1:$A$1716=B273)*(Tabelle2!$C$1:$C$1716&lt;=A273)*(Tabelle2!$D$1:$D$1716&gt;=A273)*ROW(Tabelle2!$1:$1716)))</f>
        <v>147697</v>
      </c>
      <c r="L273">
        <f t="shared" si="4"/>
        <v>12.864174627785264</v>
      </c>
    </row>
    <row r="274" spans="1:12" x14ac:dyDescent="0.25">
      <c r="A274" s="1">
        <v>45312</v>
      </c>
      <c r="B274">
        <v>9472</v>
      </c>
      <c r="C274" t="s">
        <v>287</v>
      </c>
      <c r="D274">
        <v>26</v>
      </c>
      <c r="E274">
        <v>25.0849027477616</v>
      </c>
      <c r="I274"/>
      <c r="J274"/>
      <c r="K274">
        <f>INDEX(Tabelle2!E:E,SUMPRODUCT((Tabelle2!$A$1:$A$1716=B274)*(Tabelle2!$C$1:$C$1716&lt;=A274)*(Tabelle2!$D$1:$D$1716&gt;=A274)*ROW(Tabelle2!$1:$1716)))</f>
        <v>103648</v>
      </c>
      <c r="L274">
        <f t="shared" si="4"/>
        <v>25.084902747761657</v>
      </c>
    </row>
    <row r="275" spans="1:12" x14ac:dyDescent="0.25">
      <c r="A275" s="1">
        <v>45312</v>
      </c>
      <c r="B275">
        <v>9473</v>
      </c>
      <c r="C275" t="s">
        <v>288</v>
      </c>
      <c r="D275">
        <v>4</v>
      </c>
      <c r="E275">
        <v>4.6219264189314098</v>
      </c>
      <c r="I275"/>
      <c r="J275"/>
      <c r="K275">
        <f>INDEX(Tabelle2!E:E,SUMPRODUCT((Tabelle2!$A$1:$A$1716=B275)*(Tabelle2!$C$1:$C$1716&lt;=A275)*(Tabelle2!$D$1:$D$1716&gt;=A275)*ROW(Tabelle2!$1:$1716)))</f>
        <v>86544</v>
      </c>
      <c r="L275">
        <f t="shared" si="4"/>
        <v>4.6219264189314107</v>
      </c>
    </row>
    <row r="276" spans="1:12" x14ac:dyDescent="0.25">
      <c r="A276" s="1">
        <v>45312</v>
      </c>
      <c r="B276">
        <v>9474</v>
      </c>
      <c r="C276" t="s">
        <v>289</v>
      </c>
      <c r="D276">
        <v>16</v>
      </c>
      <c r="E276">
        <v>13.7041446472467</v>
      </c>
      <c r="I276"/>
      <c r="J276"/>
      <c r="K276">
        <f>INDEX(Tabelle2!E:E,SUMPRODUCT((Tabelle2!$A$1:$A$1716=B276)*(Tabelle2!$C$1:$C$1716&lt;=A276)*(Tabelle2!$D$1:$D$1716&gt;=A276)*ROW(Tabelle2!$1:$1716)))</f>
        <v>116753</v>
      </c>
      <c r="L276">
        <f t="shared" si="4"/>
        <v>13.704144647246752</v>
      </c>
    </row>
    <row r="277" spans="1:12" x14ac:dyDescent="0.25">
      <c r="A277" s="1">
        <v>45312</v>
      </c>
      <c r="B277">
        <v>9475</v>
      </c>
      <c r="C277" t="s">
        <v>290</v>
      </c>
      <c r="D277">
        <v>12</v>
      </c>
      <c r="E277">
        <v>12.7786001043585</v>
      </c>
      <c r="I277"/>
      <c r="J277"/>
      <c r="K277">
        <f>INDEX(Tabelle2!E:E,SUMPRODUCT((Tabelle2!$A$1:$A$1716=B277)*(Tabelle2!$C$1:$C$1716&lt;=A277)*(Tabelle2!$D$1:$D$1716&gt;=A277)*ROW(Tabelle2!$1:$1716)))</f>
        <v>93907</v>
      </c>
      <c r="L277">
        <f t="shared" si="4"/>
        <v>12.778600104358567</v>
      </c>
    </row>
    <row r="278" spans="1:12" x14ac:dyDescent="0.25">
      <c r="A278" s="1">
        <v>45312</v>
      </c>
      <c r="B278">
        <v>9476</v>
      </c>
      <c r="C278" t="s">
        <v>291</v>
      </c>
      <c r="D278">
        <v>5</v>
      </c>
      <c r="E278">
        <v>7.5653265951491102</v>
      </c>
      <c r="I278"/>
      <c r="J278"/>
      <c r="K278">
        <f>INDEX(Tabelle2!E:E,SUMPRODUCT((Tabelle2!$A$1:$A$1716=B278)*(Tabelle2!$C$1:$C$1716&lt;=A278)*(Tabelle2!$D$1:$D$1716&gt;=A278)*ROW(Tabelle2!$1:$1716)))</f>
        <v>66091</v>
      </c>
      <c r="L278">
        <f t="shared" si="4"/>
        <v>7.565326595149112</v>
      </c>
    </row>
    <row r="279" spans="1:12" x14ac:dyDescent="0.25">
      <c r="A279" s="1">
        <v>45312</v>
      </c>
      <c r="B279">
        <v>9477</v>
      </c>
      <c r="C279" t="s">
        <v>292</v>
      </c>
      <c r="D279">
        <v>10</v>
      </c>
      <c r="E279">
        <v>14.0197397936294</v>
      </c>
      <c r="I279"/>
      <c r="J279"/>
      <c r="K279">
        <f>INDEX(Tabelle2!E:E,SUMPRODUCT((Tabelle2!$A$1:$A$1716=B279)*(Tabelle2!$C$1:$C$1716&lt;=A279)*(Tabelle2!$D$1:$D$1716&gt;=A279)*ROW(Tabelle2!$1:$1716)))</f>
        <v>71328</v>
      </c>
      <c r="L279">
        <f t="shared" si="4"/>
        <v>14.01973979362943</v>
      </c>
    </row>
    <row r="280" spans="1:12" x14ac:dyDescent="0.25">
      <c r="A280" s="1">
        <v>45312</v>
      </c>
      <c r="B280">
        <v>9478</v>
      </c>
      <c r="C280" t="s">
        <v>293</v>
      </c>
      <c r="D280">
        <v>5</v>
      </c>
      <c r="E280">
        <v>7.4916468138026104</v>
      </c>
      <c r="I280"/>
      <c r="J280"/>
      <c r="K280">
        <f>INDEX(Tabelle2!E:E,SUMPRODUCT((Tabelle2!$A$1:$A$1716=B280)*(Tabelle2!$C$1:$C$1716&lt;=A280)*(Tabelle2!$D$1:$D$1716&gt;=A280)*ROW(Tabelle2!$1:$1716)))</f>
        <v>66741</v>
      </c>
      <c r="L280">
        <f t="shared" si="4"/>
        <v>7.4916468138026104</v>
      </c>
    </row>
    <row r="281" spans="1:12" x14ac:dyDescent="0.25">
      <c r="A281" s="1">
        <v>45312</v>
      </c>
      <c r="B281">
        <v>9479</v>
      </c>
      <c r="C281" t="s">
        <v>294</v>
      </c>
      <c r="D281">
        <v>11</v>
      </c>
      <c r="E281">
        <v>15.3884894099213</v>
      </c>
      <c r="I281"/>
      <c r="J281"/>
      <c r="K281">
        <f>INDEX(Tabelle2!E:E,SUMPRODUCT((Tabelle2!$A$1:$A$1716=B281)*(Tabelle2!$C$1:$C$1716&lt;=A281)*(Tabelle2!$D$1:$D$1716&gt;=A281)*ROW(Tabelle2!$1:$1716)))</f>
        <v>71482</v>
      </c>
      <c r="L281">
        <f t="shared" si="4"/>
        <v>15.38848940992138</v>
      </c>
    </row>
    <row r="282" spans="1:12" x14ac:dyDescent="0.25">
      <c r="A282" s="1">
        <v>45312</v>
      </c>
      <c r="B282">
        <v>9561</v>
      </c>
      <c r="C282" t="s">
        <v>295</v>
      </c>
      <c r="D282">
        <v>3</v>
      </c>
      <c r="E282">
        <v>7.2008064903269098</v>
      </c>
      <c r="I282"/>
      <c r="J282"/>
      <c r="K282">
        <f>INDEX(Tabelle2!E:E,SUMPRODUCT((Tabelle2!$A$1:$A$1716=B282)*(Tabelle2!$C$1:$C$1716&lt;=A282)*(Tabelle2!$D$1:$D$1716&gt;=A282)*ROW(Tabelle2!$1:$1716)))</f>
        <v>41662</v>
      </c>
      <c r="L282">
        <f t="shared" si="4"/>
        <v>7.2008064903269169</v>
      </c>
    </row>
    <row r="283" spans="1:12" x14ac:dyDescent="0.25">
      <c r="A283" s="1">
        <v>45312</v>
      </c>
      <c r="B283">
        <v>9562</v>
      </c>
      <c r="C283" t="s">
        <v>296</v>
      </c>
      <c r="D283">
        <v>10</v>
      </c>
      <c r="E283">
        <v>8.8267485788934703</v>
      </c>
      <c r="I283"/>
      <c r="J283"/>
      <c r="K283">
        <f>INDEX(Tabelle2!E:E,SUMPRODUCT((Tabelle2!$A$1:$A$1716=B283)*(Tabelle2!$C$1:$C$1716&lt;=A283)*(Tabelle2!$D$1:$D$1716&gt;=A283)*ROW(Tabelle2!$1:$1716)))</f>
        <v>113292</v>
      </c>
      <c r="L283">
        <f t="shared" si="4"/>
        <v>8.8267485788934774</v>
      </c>
    </row>
    <row r="284" spans="1:12" x14ac:dyDescent="0.25">
      <c r="A284" s="1">
        <v>45312</v>
      </c>
      <c r="B284">
        <v>9563</v>
      </c>
      <c r="C284" t="s">
        <v>484</v>
      </c>
      <c r="D284">
        <v>25</v>
      </c>
      <c r="E284">
        <v>19.361534053065999</v>
      </c>
      <c r="I284"/>
      <c r="J284"/>
      <c r="K284">
        <f>INDEX(Tabelle2!E:E,SUMPRODUCT((Tabelle2!$A$1:$A$1716=B284)*(Tabelle2!$C$1:$C$1716&lt;=A284)*(Tabelle2!$D$1:$D$1716&gt;=A284)*ROW(Tabelle2!$1:$1716)))</f>
        <v>129122</v>
      </c>
      <c r="L284">
        <f t="shared" si="4"/>
        <v>19.361534053066091</v>
      </c>
    </row>
    <row r="285" spans="1:12" x14ac:dyDescent="0.25">
      <c r="A285" s="1">
        <v>45312</v>
      </c>
      <c r="B285">
        <v>9564</v>
      </c>
      <c r="C285" t="s">
        <v>485</v>
      </c>
      <c r="D285">
        <v>57</v>
      </c>
      <c r="E285">
        <v>11.162637672531201</v>
      </c>
      <c r="I285"/>
      <c r="J285"/>
      <c r="K285">
        <f>INDEX(Tabelle2!E:E,SUMPRODUCT((Tabelle2!$A$1:$A$1716=B285)*(Tabelle2!$C$1:$C$1716&lt;=A285)*(Tabelle2!$D$1:$D$1716&gt;=A285)*ROW(Tabelle2!$1:$1716)))</f>
        <v>510632</v>
      </c>
      <c r="L285">
        <f t="shared" si="4"/>
        <v>11.162637672531295</v>
      </c>
    </row>
    <row r="286" spans="1:12" x14ac:dyDescent="0.25">
      <c r="A286" s="1">
        <v>45312</v>
      </c>
      <c r="B286">
        <v>9565</v>
      </c>
      <c r="C286" t="s">
        <v>299</v>
      </c>
      <c r="D286">
        <v>3</v>
      </c>
      <c r="E286">
        <v>7.2911097068973802</v>
      </c>
      <c r="I286"/>
      <c r="J286"/>
      <c r="K286">
        <f>INDEX(Tabelle2!E:E,SUMPRODUCT((Tabelle2!$A$1:$A$1716=B286)*(Tabelle2!$C$1:$C$1716&lt;=A286)*(Tabelle2!$D$1:$D$1716&gt;=A286)*ROW(Tabelle2!$1:$1716)))</f>
        <v>41146</v>
      </c>
      <c r="L286">
        <f t="shared" si="4"/>
        <v>7.2911097068973891</v>
      </c>
    </row>
    <row r="287" spans="1:12" x14ac:dyDescent="0.25">
      <c r="A287" s="1">
        <v>45312</v>
      </c>
      <c r="B287">
        <v>9571</v>
      </c>
      <c r="C287" t="s">
        <v>300</v>
      </c>
      <c r="D287">
        <v>5</v>
      </c>
      <c r="E287">
        <v>2.6841458242743399</v>
      </c>
      <c r="I287"/>
      <c r="J287"/>
      <c r="K287">
        <f>INDEX(Tabelle2!E:E,SUMPRODUCT((Tabelle2!$A$1:$A$1716=B287)*(Tabelle2!$C$1:$C$1716&lt;=A287)*(Tabelle2!$D$1:$D$1716&gt;=A287)*ROW(Tabelle2!$1:$1716)))</f>
        <v>186279</v>
      </c>
      <c r="L287">
        <f t="shared" si="4"/>
        <v>2.6841458242743412</v>
      </c>
    </row>
    <row r="288" spans="1:12" x14ac:dyDescent="0.25">
      <c r="A288" s="1">
        <v>45312</v>
      </c>
      <c r="B288">
        <v>9572</v>
      </c>
      <c r="C288" t="s">
        <v>486</v>
      </c>
      <c r="D288">
        <v>17</v>
      </c>
      <c r="E288">
        <v>12.2018618605686</v>
      </c>
      <c r="I288"/>
      <c r="J288"/>
      <c r="K288">
        <f>INDEX(Tabelle2!E:E,SUMPRODUCT((Tabelle2!$A$1:$A$1716=B288)*(Tabelle2!$C$1:$C$1716&lt;=A288)*(Tabelle2!$D$1:$D$1716&gt;=A288)*ROW(Tabelle2!$1:$1716)))</f>
        <v>139323</v>
      </c>
      <c r="L288">
        <f t="shared" si="4"/>
        <v>12.201861860568608</v>
      </c>
    </row>
    <row r="289" spans="1:12" x14ac:dyDescent="0.25">
      <c r="A289" s="1">
        <v>45312</v>
      </c>
      <c r="B289">
        <v>9573</v>
      </c>
      <c r="C289" t="s">
        <v>487</v>
      </c>
      <c r="D289">
        <v>7</v>
      </c>
      <c r="E289">
        <v>5.8610757585906601</v>
      </c>
      <c r="I289"/>
      <c r="J289"/>
      <c r="K289">
        <f>INDEX(Tabelle2!E:E,SUMPRODUCT((Tabelle2!$A$1:$A$1716=B289)*(Tabelle2!$C$1:$C$1716&lt;=A289)*(Tabelle2!$D$1:$D$1716&gt;=A289)*ROW(Tabelle2!$1:$1716)))</f>
        <v>119432</v>
      </c>
      <c r="L289">
        <f t="shared" si="4"/>
        <v>5.8610757585906619</v>
      </c>
    </row>
    <row r="290" spans="1:12" x14ac:dyDescent="0.25">
      <c r="A290" s="1">
        <v>45312</v>
      </c>
      <c r="B290">
        <v>9574</v>
      </c>
      <c r="C290" t="s">
        <v>488</v>
      </c>
      <c r="D290">
        <v>11</v>
      </c>
      <c r="E290">
        <v>6.4168377823408598</v>
      </c>
      <c r="I290"/>
      <c r="J290"/>
      <c r="K290">
        <f>INDEX(Tabelle2!E:E,SUMPRODUCT((Tabelle2!$A$1:$A$1716=B290)*(Tabelle2!$C$1:$C$1716&lt;=A290)*(Tabelle2!$D$1:$D$1716&gt;=A290)*ROW(Tabelle2!$1:$1716)))</f>
        <v>171424</v>
      </c>
      <c r="L290">
        <f t="shared" si="4"/>
        <v>6.4168377823408624</v>
      </c>
    </row>
    <row r="291" spans="1:12" x14ac:dyDescent="0.25">
      <c r="A291" s="1">
        <v>45312</v>
      </c>
      <c r="B291">
        <v>9575</v>
      </c>
      <c r="C291" t="s">
        <v>304</v>
      </c>
      <c r="D291">
        <v>13</v>
      </c>
      <c r="E291">
        <v>12.7716430227531</v>
      </c>
      <c r="I291"/>
      <c r="J291"/>
      <c r="K291">
        <f>INDEX(Tabelle2!E:E,SUMPRODUCT((Tabelle2!$A$1:$A$1716=B291)*(Tabelle2!$C$1:$C$1716&lt;=A291)*(Tabelle2!$D$1:$D$1716&gt;=A291)*ROW(Tabelle2!$1:$1716)))</f>
        <v>101788</v>
      </c>
      <c r="L291">
        <f t="shared" si="4"/>
        <v>12.771643022753173</v>
      </c>
    </row>
    <row r="292" spans="1:12" x14ac:dyDescent="0.25">
      <c r="A292" s="1">
        <v>45312</v>
      </c>
      <c r="B292">
        <v>9576</v>
      </c>
      <c r="C292" t="s">
        <v>305</v>
      </c>
      <c r="D292">
        <v>18</v>
      </c>
      <c r="E292">
        <v>14.115432873274701</v>
      </c>
      <c r="I292"/>
      <c r="J292"/>
      <c r="K292">
        <f>INDEX(Tabelle2!E:E,SUMPRODUCT((Tabelle2!$A$1:$A$1716=B292)*(Tabelle2!$C$1:$C$1716&lt;=A292)*(Tabelle2!$D$1:$D$1716&gt;=A292)*ROW(Tabelle2!$1:$1716)))</f>
        <v>127520</v>
      </c>
      <c r="L292">
        <f t="shared" si="4"/>
        <v>14.115432873274781</v>
      </c>
    </row>
    <row r="293" spans="1:12" x14ac:dyDescent="0.25">
      <c r="A293" s="1">
        <v>45312</v>
      </c>
      <c r="B293">
        <v>9577</v>
      </c>
      <c r="C293" t="s">
        <v>489</v>
      </c>
      <c r="D293">
        <v>7</v>
      </c>
      <c r="E293">
        <v>7.3280780544999597</v>
      </c>
      <c r="I293"/>
      <c r="J293"/>
      <c r="K293">
        <f>INDEX(Tabelle2!E:E,SUMPRODUCT((Tabelle2!$A$1:$A$1716=B293)*(Tabelle2!$C$1:$C$1716&lt;=A293)*(Tabelle2!$D$1:$D$1716&gt;=A293)*ROW(Tabelle2!$1:$1716)))</f>
        <v>95523</v>
      </c>
      <c r="L293">
        <f t="shared" si="4"/>
        <v>7.3280780544999633</v>
      </c>
    </row>
    <row r="294" spans="1:12" x14ac:dyDescent="0.25">
      <c r="A294" s="1">
        <v>45312</v>
      </c>
      <c r="B294">
        <v>9661</v>
      </c>
      <c r="C294" t="s">
        <v>307</v>
      </c>
      <c r="D294">
        <v>11</v>
      </c>
      <c r="E294">
        <v>15.4102632353147</v>
      </c>
      <c r="I294"/>
      <c r="J294"/>
      <c r="K294">
        <f>INDEX(Tabelle2!E:E,SUMPRODUCT((Tabelle2!$A$1:$A$1716=B294)*(Tabelle2!$C$1:$C$1716&lt;=A294)*(Tabelle2!$D$1:$D$1716&gt;=A294)*ROW(Tabelle2!$1:$1716)))</f>
        <v>71381</v>
      </c>
      <c r="L294">
        <f t="shared" si="4"/>
        <v>15.410263235314721</v>
      </c>
    </row>
    <row r="295" spans="1:12" x14ac:dyDescent="0.25">
      <c r="A295" s="1">
        <v>45312</v>
      </c>
      <c r="B295">
        <v>9662</v>
      </c>
      <c r="C295" t="s">
        <v>308</v>
      </c>
      <c r="D295">
        <v>10</v>
      </c>
      <c r="E295">
        <v>18.661938975459499</v>
      </c>
      <c r="I295"/>
      <c r="J295"/>
      <c r="K295">
        <f>INDEX(Tabelle2!E:E,SUMPRODUCT((Tabelle2!$A$1:$A$1716=B295)*(Tabelle2!$C$1:$C$1716&lt;=A295)*(Tabelle2!$D$1:$D$1716&gt;=A295)*ROW(Tabelle2!$1:$1716)))</f>
        <v>53585</v>
      </c>
      <c r="L295">
        <f t="shared" si="4"/>
        <v>18.661938975459549</v>
      </c>
    </row>
    <row r="296" spans="1:12" x14ac:dyDescent="0.25">
      <c r="A296" s="1">
        <v>45312</v>
      </c>
      <c r="B296">
        <v>9663</v>
      </c>
      <c r="C296" t="s">
        <v>490</v>
      </c>
      <c r="D296">
        <v>11</v>
      </c>
      <c r="E296">
        <v>8.6659891438790506</v>
      </c>
      <c r="I296"/>
      <c r="J296"/>
      <c r="K296">
        <f>INDEX(Tabelle2!E:E,SUMPRODUCT((Tabelle2!$A$1:$A$1716=B296)*(Tabelle2!$C$1:$C$1716&lt;=A296)*(Tabelle2!$D$1:$D$1716&gt;=A296)*ROW(Tabelle2!$1:$1716)))</f>
        <v>126933</v>
      </c>
      <c r="L296">
        <f t="shared" si="4"/>
        <v>8.6659891438790542</v>
      </c>
    </row>
    <row r="297" spans="1:12" x14ac:dyDescent="0.25">
      <c r="A297" s="1">
        <v>45312</v>
      </c>
      <c r="B297">
        <v>9671</v>
      </c>
      <c r="C297" t="s">
        <v>310</v>
      </c>
      <c r="D297">
        <v>29</v>
      </c>
      <c r="E297">
        <v>16.5747435201326</v>
      </c>
      <c r="I297"/>
      <c r="J297"/>
      <c r="K297">
        <f>INDEX(Tabelle2!E:E,SUMPRODUCT((Tabelle2!$A$1:$A$1716=B297)*(Tabelle2!$C$1:$C$1716&lt;=A297)*(Tabelle2!$D$1:$D$1716&gt;=A297)*ROW(Tabelle2!$1:$1716)))</f>
        <v>174965</v>
      </c>
      <c r="L297">
        <f t="shared" si="4"/>
        <v>16.5747435201326</v>
      </c>
    </row>
    <row r="298" spans="1:12" x14ac:dyDescent="0.25">
      <c r="A298" s="1">
        <v>45312</v>
      </c>
      <c r="B298">
        <v>9672</v>
      </c>
      <c r="C298" t="s">
        <v>311</v>
      </c>
      <c r="D298">
        <v>12</v>
      </c>
      <c r="E298">
        <v>11.5993581688479</v>
      </c>
      <c r="I298"/>
      <c r="J298"/>
      <c r="K298">
        <f>INDEX(Tabelle2!E:E,SUMPRODUCT((Tabelle2!$A$1:$A$1716=B298)*(Tabelle2!$C$1:$C$1716&lt;=A298)*(Tabelle2!$D$1:$D$1716&gt;=A298)*ROW(Tabelle2!$1:$1716)))</f>
        <v>103454</v>
      </c>
      <c r="L298">
        <f t="shared" si="4"/>
        <v>11.59935816884799</v>
      </c>
    </row>
    <row r="299" spans="1:12" x14ac:dyDescent="0.25">
      <c r="A299" s="1">
        <v>45312</v>
      </c>
      <c r="B299">
        <v>9673</v>
      </c>
      <c r="C299" t="s">
        <v>491</v>
      </c>
      <c r="D299">
        <v>0</v>
      </c>
      <c r="E299">
        <v>0</v>
      </c>
      <c r="I299"/>
      <c r="J299"/>
      <c r="K299">
        <f>INDEX(Tabelle2!E:E,SUMPRODUCT((Tabelle2!$A$1:$A$1716=B299)*(Tabelle2!$C$1:$C$1716&lt;=A299)*(Tabelle2!$D$1:$D$1716&gt;=A299)*ROW(Tabelle2!$1:$1716)))</f>
        <v>79376</v>
      </c>
      <c r="L299">
        <f t="shared" si="4"/>
        <v>0</v>
      </c>
    </row>
    <row r="300" spans="1:12" x14ac:dyDescent="0.25">
      <c r="A300" s="1">
        <v>45312</v>
      </c>
      <c r="B300">
        <v>9674</v>
      </c>
      <c r="C300" t="s">
        <v>492</v>
      </c>
      <c r="D300">
        <v>7</v>
      </c>
      <c r="E300">
        <v>8.3052536661762595</v>
      </c>
      <c r="I300"/>
      <c r="J300"/>
      <c r="K300">
        <f>INDEX(Tabelle2!E:E,SUMPRODUCT((Tabelle2!$A$1:$A$1716=B300)*(Tabelle2!$C$1:$C$1716&lt;=A300)*(Tabelle2!$D$1:$D$1716&gt;=A300)*ROW(Tabelle2!$1:$1716)))</f>
        <v>84284</v>
      </c>
      <c r="L300">
        <f t="shared" si="4"/>
        <v>8.3052536661762613</v>
      </c>
    </row>
    <row r="301" spans="1:12" x14ac:dyDescent="0.25">
      <c r="A301" s="1">
        <v>45312</v>
      </c>
      <c r="B301">
        <v>9675</v>
      </c>
      <c r="C301" t="s">
        <v>314</v>
      </c>
      <c r="D301">
        <v>12</v>
      </c>
      <c r="E301">
        <v>13.046314416177401</v>
      </c>
      <c r="I301"/>
      <c r="J301"/>
      <c r="K301">
        <f>INDEX(Tabelle2!E:E,SUMPRODUCT((Tabelle2!$A$1:$A$1716=B301)*(Tabelle2!$C$1:$C$1716&lt;=A301)*(Tabelle2!$D$1:$D$1716&gt;=A301)*ROW(Tabelle2!$1:$1716)))</f>
        <v>91980</v>
      </c>
      <c r="L301">
        <f t="shared" si="4"/>
        <v>13.046314416177431</v>
      </c>
    </row>
    <row r="302" spans="1:12" x14ac:dyDescent="0.25">
      <c r="A302" s="1">
        <v>45312</v>
      </c>
      <c r="B302">
        <v>9676</v>
      </c>
      <c r="C302" t="s">
        <v>315</v>
      </c>
      <c r="D302">
        <v>14</v>
      </c>
      <c r="E302">
        <v>10.8710844683263</v>
      </c>
      <c r="I302"/>
      <c r="J302"/>
      <c r="K302">
        <f>INDEX(Tabelle2!E:E,SUMPRODUCT((Tabelle2!$A$1:$A$1716=B302)*(Tabelle2!$C$1:$C$1716&lt;=A302)*(Tabelle2!$D$1:$D$1716&gt;=A302)*ROW(Tabelle2!$1:$1716)))</f>
        <v>128782</v>
      </c>
      <c r="L302">
        <f t="shared" si="4"/>
        <v>10.87108446832632</v>
      </c>
    </row>
    <row r="303" spans="1:12" x14ac:dyDescent="0.25">
      <c r="A303" s="1">
        <v>45312</v>
      </c>
      <c r="B303">
        <v>9677</v>
      </c>
      <c r="C303" t="s">
        <v>316</v>
      </c>
      <c r="D303">
        <v>3</v>
      </c>
      <c r="E303">
        <v>2.3789699060306799</v>
      </c>
      <c r="I303"/>
      <c r="J303"/>
      <c r="K303">
        <f>INDEX(Tabelle2!E:E,SUMPRODUCT((Tabelle2!$A$1:$A$1716=B303)*(Tabelle2!$C$1:$C$1716&lt;=A303)*(Tabelle2!$D$1:$D$1716&gt;=A303)*ROW(Tabelle2!$1:$1716)))</f>
        <v>126105</v>
      </c>
      <c r="L303">
        <f t="shared" si="4"/>
        <v>2.3789699060306888</v>
      </c>
    </row>
    <row r="304" spans="1:12" x14ac:dyDescent="0.25">
      <c r="A304" s="1">
        <v>45312</v>
      </c>
      <c r="B304">
        <v>9678</v>
      </c>
      <c r="C304" t="s">
        <v>317</v>
      </c>
      <c r="D304">
        <v>5</v>
      </c>
      <c r="E304">
        <v>4.30537138133535</v>
      </c>
      <c r="I304"/>
      <c r="J304"/>
      <c r="K304">
        <f>INDEX(Tabelle2!E:E,SUMPRODUCT((Tabelle2!$A$1:$A$1716=B304)*(Tabelle2!$C$1:$C$1716&lt;=A304)*(Tabelle2!$D$1:$D$1716&gt;=A304)*ROW(Tabelle2!$1:$1716)))</f>
        <v>116134</v>
      </c>
      <c r="L304">
        <f t="shared" si="4"/>
        <v>4.3053713813353545</v>
      </c>
    </row>
    <row r="305" spans="1:12" x14ac:dyDescent="0.25">
      <c r="A305" s="1">
        <v>45312</v>
      </c>
      <c r="B305">
        <v>9679</v>
      </c>
      <c r="C305" t="s">
        <v>493</v>
      </c>
      <c r="D305">
        <v>5</v>
      </c>
      <c r="E305">
        <v>3.0574681717563301</v>
      </c>
      <c r="I305"/>
      <c r="J305"/>
      <c r="K305">
        <f>INDEX(Tabelle2!E:E,SUMPRODUCT((Tabelle2!$A$1:$A$1716=B305)*(Tabelle2!$C$1:$C$1716&lt;=A305)*(Tabelle2!$D$1:$D$1716&gt;=A305)*ROW(Tabelle2!$1:$1716)))</f>
        <v>163534</v>
      </c>
      <c r="L305">
        <f t="shared" si="4"/>
        <v>3.0574681717563323</v>
      </c>
    </row>
    <row r="306" spans="1:12" x14ac:dyDescent="0.25">
      <c r="A306" s="1">
        <v>45312</v>
      </c>
      <c r="B306">
        <v>9761</v>
      </c>
      <c r="C306" t="s">
        <v>319</v>
      </c>
      <c r="D306">
        <v>22</v>
      </c>
      <c r="E306">
        <v>7.42044940939968</v>
      </c>
      <c r="I306"/>
      <c r="J306"/>
      <c r="K306">
        <f>INDEX(Tabelle2!E:E,SUMPRODUCT((Tabelle2!$A$1:$A$1716=B306)*(Tabelle2!$C$1:$C$1716&lt;=A306)*(Tabelle2!$D$1:$D$1716&gt;=A306)*ROW(Tabelle2!$1:$1716)))</f>
        <v>296478</v>
      </c>
      <c r="L306">
        <f t="shared" si="4"/>
        <v>7.4204494093996862</v>
      </c>
    </row>
    <row r="307" spans="1:12" x14ac:dyDescent="0.25">
      <c r="A307" s="1">
        <v>45312</v>
      </c>
      <c r="B307">
        <v>9762</v>
      </c>
      <c r="C307" t="s">
        <v>320</v>
      </c>
      <c r="D307">
        <v>2</v>
      </c>
      <c r="E307">
        <v>4.4328206037501596</v>
      </c>
      <c r="I307"/>
      <c r="J307"/>
      <c r="K307">
        <f>INDEX(Tabelle2!E:E,SUMPRODUCT((Tabelle2!$A$1:$A$1716=B307)*(Tabelle2!$C$1:$C$1716&lt;=A307)*(Tabelle2!$D$1:$D$1716&gt;=A307)*ROW(Tabelle2!$1:$1716)))</f>
        <v>45118</v>
      </c>
      <c r="L307">
        <f t="shared" si="4"/>
        <v>4.4328206037501658</v>
      </c>
    </row>
    <row r="308" spans="1:12" x14ac:dyDescent="0.25">
      <c r="A308" s="1">
        <v>45312</v>
      </c>
      <c r="B308">
        <v>9763</v>
      </c>
      <c r="C308" t="s">
        <v>321</v>
      </c>
      <c r="D308">
        <v>1</v>
      </c>
      <c r="E308">
        <v>1.44816300522786</v>
      </c>
      <c r="I308"/>
      <c r="J308"/>
      <c r="K308">
        <f>INDEX(Tabelle2!E:E,SUMPRODUCT((Tabelle2!$A$1:$A$1716=B308)*(Tabelle2!$C$1:$C$1716&lt;=A308)*(Tabelle2!$D$1:$D$1716&gt;=A308)*ROW(Tabelle2!$1:$1716)))</f>
        <v>69053</v>
      </c>
      <c r="L308">
        <f t="shared" si="4"/>
        <v>1.4481630052278684</v>
      </c>
    </row>
    <row r="309" spans="1:12" x14ac:dyDescent="0.25">
      <c r="A309" s="1">
        <v>45312</v>
      </c>
      <c r="B309">
        <v>9764</v>
      </c>
      <c r="C309" t="s">
        <v>322</v>
      </c>
      <c r="D309">
        <v>5</v>
      </c>
      <c r="E309">
        <v>11.1804297757205</v>
      </c>
      <c r="I309"/>
      <c r="J309"/>
      <c r="K309">
        <f>INDEX(Tabelle2!E:E,SUMPRODUCT((Tabelle2!$A$1:$A$1716=B309)*(Tabelle2!$C$1:$C$1716&lt;=A309)*(Tabelle2!$D$1:$D$1716&gt;=A309)*ROW(Tabelle2!$1:$1716)))</f>
        <v>44721</v>
      </c>
      <c r="L309">
        <f t="shared" si="4"/>
        <v>11.180429775720579</v>
      </c>
    </row>
    <row r="310" spans="1:12" x14ac:dyDescent="0.25">
      <c r="A310" s="1">
        <v>45312</v>
      </c>
      <c r="B310">
        <v>9771</v>
      </c>
      <c r="C310" t="s">
        <v>323</v>
      </c>
      <c r="D310">
        <v>10</v>
      </c>
      <c r="E310">
        <v>7.3780046924109799</v>
      </c>
      <c r="I310"/>
      <c r="J310"/>
      <c r="K310">
        <f>INDEX(Tabelle2!E:E,SUMPRODUCT((Tabelle2!$A$1:$A$1716=B310)*(Tabelle2!$C$1:$C$1716&lt;=A310)*(Tabelle2!$D$1:$D$1716&gt;=A310)*ROW(Tabelle2!$1:$1716)))</f>
        <v>135538</v>
      </c>
      <c r="L310">
        <f t="shared" si="4"/>
        <v>7.3780046924109852</v>
      </c>
    </row>
    <row r="311" spans="1:12" x14ac:dyDescent="0.25">
      <c r="A311" s="1">
        <v>45312</v>
      </c>
      <c r="B311">
        <v>9772</v>
      </c>
      <c r="C311" t="s">
        <v>324</v>
      </c>
      <c r="D311">
        <v>42</v>
      </c>
      <c r="E311">
        <v>16.292330967066199</v>
      </c>
      <c r="I311"/>
      <c r="J311"/>
      <c r="K311">
        <f>INDEX(Tabelle2!E:E,SUMPRODUCT((Tabelle2!$A$1:$A$1716=B311)*(Tabelle2!$C$1:$C$1716&lt;=A311)*(Tabelle2!$D$1:$D$1716&gt;=A311)*ROW(Tabelle2!$1:$1716)))</f>
        <v>257790</v>
      </c>
      <c r="L311">
        <f t="shared" si="4"/>
        <v>16.292330967066217</v>
      </c>
    </row>
    <row r="312" spans="1:12" x14ac:dyDescent="0.25">
      <c r="A312" s="1">
        <v>45312</v>
      </c>
      <c r="B312">
        <v>9773</v>
      </c>
      <c r="C312" t="s">
        <v>325</v>
      </c>
      <c r="D312">
        <v>18</v>
      </c>
      <c r="E312">
        <v>18.370158697759798</v>
      </c>
      <c r="I312"/>
      <c r="J312"/>
      <c r="K312">
        <f>INDEX(Tabelle2!E:E,SUMPRODUCT((Tabelle2!$A$1:$A$1716=B312)*(Tabelle2!$C$1:$C$1716&lt;=A312)*(Tabelle2!$D$1:$D$1716&gt;=A312)*ROW(Tabelle2!$1:$1716)))</f>
        <v>97985</v>
      </c>
      <c r="L312">
        <f t="shared" si="4"/>
        <v>18.370158697759862</v>
      </c>
    </row>
    <row r="313" spans="1:12" x14ac:dyDescent="0.25">
      <c r="A313" s="1">
        <v>45312</v>
      </c>
      <c r="B313">
        <v>9774</v>
      </c>
      <c r="C313" t="s">
        <v>494</v>
      </c>
      <c r="D313">
        <v>34</v>
      </c>
      <c r="E313">
        <v>26.472328630602</v>
      </c>
      <c r="I313"/>
      <c r="J313"/>
      <c r="K313">
        <f>INDEX(Tabelle2!E:E,SUMPRODUCT((Tabelle2!$A$1:$A$1716=B313)*(Tabelle2!$C$1:$C$1716&lt;=A313)*(Tabelle2!$D$1:$D$1716&gt;=A313)*ROW(Tabelle2!$1:$1716)))</f>
        <v>128436</v>
      </c>
      <c r="L313">
        <f t="shared" si="4"/>
        <v>26.472328630602014</v>
      </c>
    </row>
    <row r="314" spans="1:12" x14ac:dyDescent="0.25">
      <c r="A314" s="1">
        <v>45312</v>
      </c>
      <c r="B314">
        <v>9775</v>
      </c>
      <c r="C314" t="s">
        <v>327</v>
      </c>
      <c r="D314">
        <v>19</v>
      </c>
      <c r="E314">
        <v>10.7144871144194</v>
      </c>
      <c r="I314"/>
      <c r="J314"/>
      <c r="K314">
        <f>INDEX(Tabelle2!E:E,SUMPRODUCT((Tabelle2!$A$1:$A$1716=B314)*(Tabelle2!$C$1:$C$1716&lt;=A314)*(Tabelle2!$D$1:$D$1716&gt;=A314)*ROW(Tabelle2!$1:$1716)))</f>
        <v>177330</v>
      </c>
      <c r="L314">
        <f t="shared" si="4"/>
        <v>10.714487114419443</v>
      </c>
    </row>
    <row r="315" spans="1:12" x14ac:dyDescent="0.25">
      <c r="A315" s="1">
        <v>45312</v>
      </c>
      <c r="B315">
        <v>9776</v>
      </c>
      <c r="C315" t="s">
        <v>328</v>
      </c>
      <c r="D315">
        <v>5</v>
      </c>
      <c r="E315">
        <v>6.0731203692457099</v>
      </c>
      <c r="I315"/>
      <c r="J315"/>
      <c r="K315">
        <f>INDEX(Tabelle2!E:E,SUMPRODUCT((Tabelle2!$A$1:$A$1716=B315)*(Tabelle2!$C$1:$C$1716&lt;=A315)*(Tabelle2!$D$1:$D$1716&gt;=A315)*ROW(Tabelle2!$1:$1716)))</f>
        <v>82330</v>
      </c>
      <c r="L315">
        <f t="shared" si="4"/>
        <v>6.0731203692457187</v>
      </c>
    </row>
    <row r="316" spans="1:12" x14ac:dyDescent="0.25">
      <c r="A316" s="1">
        <v>45312</v>
      </c>
      <c r="B316">
        <v>9777</v>
      </c>
      <c r="C316" t="s">
        <v>495</v>
      </c>
      <c r="D316">
        <v>13</v>
      </c>
      <c r="E316">
        <v>9.0759306319640292</v>
      </c>
      <c r="I316"/>
      <c r="J316"/>
      <c r="K316">
        <f>INDEX(Tabelle2!E:E,SUMPRODUCT((Tabelle2!$A$1:$A$1716=B316)*(Tabelle2!$C$1:$C$1716&lt;=A316)*(Tabelle2!$D$1:$D$1716&gt;=A316)*ROW(Tabelle2!$1:$1716)))</f>
        <v>143236</v>
      </c>
      <c r="L316">
        <f t="shared" si="4"/>
        <v>9.0759306319640309</v>
      </c>
    </row>
    <row r="317" spans="1:12" x14ac:dyDescent="0.25">
      <c r="A317" s="1">
        <v>45312</v>
      </c>
      <c r="B317">
        <v>9778</v>
      </c>
      <c r="C317" t="s">
        <v>496</v>
      </c>
      <c r="D317">
        <v>15</v>
      </c>
      <c r="E317">
        <v>10.1504980511043</v>
      </c>
      <c r="I317"/>
      <c r="J317"/>
      <c r="K317">
        <f>INDEX(Tabelle2!E:E,SUMPRODUCT((Tabelle2!$A$1:$A$1716=B317)*(Tabelle2!$C$1:$C$1716&lt;=A317)*(Tabelle2!$D$1:$D$1716&gt;=A317)*ROW(Tabelle2!$1:$1716)))</f>
        <v>147776</v>
      </c>
      <c r="L317">
        <f t="shared" si="4"/>
        <v>10.150498051104375</v>
      </c>
    </row>
    <row r="318" spans="1:12" x14ac:dyDescent="0.25">
      <c r="A318" s="1">
        <v>45312</v>
      </c>
      <c r="B318">
        <v>9779</v>
      </c>
      <c r="C318" t="s">
        <v>331</v>
      </c>
      <c r="D318">
        <v>27</v>
      </c>
      <c r="E318">
        <v>20.002074289185501</v>
      </c>
      <c r="I318"/>
      <c r="J318"/>
      <c r="K318">
        <f>INDEX(Tabelle2!E:E,SUMPRODUCT((Tabelle2!$A$1:$A$1716=B318)*(Tabelle2!$C$1:$C$1716&lt;=A318)*(Tabelle2!$D$1:$D$1716&gt;=A318)*ROW(Tabelle2!$1:$1716)))</f>
        <v>134986</v>
      </c>
      <c r="L318">
        <f t="shared" si="4"/>
        <v>20.002074289185547</v>
      </c>
    </row>
    <row r="319" spans="1:12" x14ac:dyDescent="0.25">
      <c r="A319" s="1">
        <v>45312</v>
      </c>
      <c r="B319">
        <v>9780</v>
      </c>
      <c r="C319" t="s">
        <v>497</v>
      </c>
      <c r="D319">
        <v>34</v>
      </c>
      <c r="E319">
        <v>21.6282235594967</v>
      </c>
      <c r="I319"/>
      <c r="J319"/>
      <c r="K319">
        <f>INDEX(Tabelle2!E:E,SUMPRODUCT((Tabelle2!$A$1:$A$1716=B319)*(Tabelle2!$C$1:$C$1716&lt;=A319)*(Tabelle2!$D$1:$D$1716&gt;=A319)*ROW(Tabelle2!$1:$1716)))</f>
        <v>157202</v>
      </c>
      <c r="L319">
        <f t="shared" si="4"/>
        <v>21.6282235594967</v>
      </c>
    </row>
    <row r="320" spans="1:12" x14ac:dyDescent="0.25">
      <c r="A320" s="1">
        <v>45312</v>
      </c>
      <c r="B320">
        <v>10041</v>
      </c>
      <c r="C320" t="s">
        <v>498</v>
      </c>
      <c r="D320">
        <v>28</v>
      </c>
      <c r="E320">
        <v>8.5552608743476597</v>
      </c>
      <c r="I320"/>
      <c r="J320"/>
      <c r="K320">
        <f>INDEX(Tabelle2!E:E,SUMPRODUCT((Tabelle2!$A$1:$A$1716=B320)*(Tabelle2!$C$1:$C$1716&lt;=A320)*(Tabelle2!$D$1:$D$1716&gt;=A320)*ROW(Tabelle2!$1:$1716)))</f>
        <v>327284</v>
      </c>
      <c r="L320">
        <f t="shared" si="4"/>
        <v>8.5552608743476615</v>
      </c>
    </row>
    <row r="321" spans="1:12" x14ac:dyDescent="0.25">
      <c r="A321" s="1">
        <v>45312</v>
      </c>
      <c r="B321">
        <v>10042</v>
      </c>
      <c r="C321" t="s">
        <v>335</v>
      </c>
      <c r="D321">
        <v>5</v>
      </c>
      <c r="E321">
        <v>4.8343743352735196</v>
      </c>
      <c r="I321"/>
      <c r="J321"/>
      <c r="K321">
        <f>INDEX(Tabelle2!E:E,SUMPRODUCT((Tabelle2!$A$1:$A$1716=B321)*(Tabelle2!$C$1:$C$1716&lt;=A321)*(Tabelle2!$D$1:$D$1716&gt;=A321)*ROW(Tabelle2!$1:$1716)))</f>
        <v>103426</v>
      </c>
      <c r="L321">
        <f t="shared" si="4"/>
        <v>4.8343743352735293</v>
      </c>
    </row>
    <row r="322" spans="1:12" x14ac:dyDescent="0.25">
      <c r="A322" s="1">
        <v>45312</v>
      </c>
      <c r="B322">
        <v>10043</v>
      </c>
      <c r="C322" t="s">
        <v>336</v>
      </c>
      <c r="D322">
        <v>8</v>
      </c>
      <c r="E322">
        <v>6.1140110205048597</v>
      </c>
      <c r="I322"/>
      <c r="J322"/>
      <c r="K322">
        <f>INDEX(Tabelle2!E:E,SUMPRODUCT((Tabelle2!$A$1:$A$1716=B322)*(Tabelle2!$C$1:$C$1716&lt;=A322)*(Tabelle2!$D$1:$D$1716&gt;=A322)*ROW(Tabelle2!$1:$1716)))</f>
        <v>130847</v>
      </c>
      <c r="L322">
        <f t="shared" si="4"/>
        <v>6.114011020504865</v>
      </c>
    </row>
    <row r="323" spans="1:12" x14ac:dyDescent="0.25">
      <c r="A323" s="1">
        <v>45312</v>
      </c>
      <c r="B323">
        <v>10044</v>
      </c>
      <c r="C323" t="s">
        <v>337</v>
      </c>
      <c r="D323">
        <v>8</v>
      </c>
      <c r="E323">
        <v>4.1309298206660001</v>
      </c>
      <c r="I323"/>
      <c r="J323"/>
      <c r="K323">
        <f>INDEX(Tabelle2!E:E,SUMPRODUCT((Tabelle2!$A$1:$A$1716=B323)*(Tabelle2!$C$1:$C$1716&lt;=A323)*(Tabelle2!$D$1:$D$1716&gt;=A323)*ROW(Tabelle2!$1:$1716)))</f>
        <v>193661</v>
      </c>
      <c r="L323">
        <f t="shared" ref="L323:L386" si="5">D323/K323*100000</f>
        <v>4.130929820666009</v>
      </c>
    </row>
    <row r="324" spans="1:12" x14ac:dyDescent="0.25">
      <c r="A324" s="1">
        <v>45312</v>
      </c>
      <c r="B324">
        <v>10045</v>
      </c>
      <c r="C324" t="s">
        <v>338</v>
      </c>
      <c r="D324">
        <v>11</v>
      </c>
      <c r="E324">
        <v>7.8036322360953401</v>
      </c>
      <c r="I324"/>
      <c r="J324"/>
      <c r="K324">
        <f>INDEX(Tabelle2!E:E,SUMPRODUCT((Tabelle2!$A$1:$A$1716=B324)*(Tabelle2!$C$1:$C$1716&lt;=A324)*(Tabelle2!$D$1:$D$1716&gt;=A324)*ROW(Tabelle2!$1:$1716)))</f>
        <v>140960</v>
      </c>
      <c r="L324">
        <f t="shared" si="5"/>
        <v>7.8036322360953463</v>
      </c>
    </row>
    <row r="325" spans="1:12" x14ac:dyDescent="0.25">
      <c r="A325" s="1">
        <v>45312</v>
      </c>
      <c r="B325">
        <v>10046</v>
      </c>
      <c r="C325" t="s">
        <v>339</v>
      </c>
      <c r="D325">
        <v>11</v>
      </c>
      <c r="E325">
        <v>12.765463618428599</v>
      </c>
      <c r="I325"/>
      <c r="J325"/>
      <c r="K325">
        <f>INDEX(Tabelle2!E:E,SUMPRODUCT((Tabelle2!$A$1:$A$1716=B325)*(Tabelle2!$C$1:$C$1716&lt;=A325)*(Tabelle2!$D$1:$D$1716&gt;=A325)*ROW(Tabelle2!$1:$1716)))</f>
        <v>86170</v>
      </c>
      <c r="L325">
        <f t="shared" si="5"/>
        <v>12.765463618428688</v>
      </c>
    </row>
    <row r="326" spans="1:12" x14ac:dyDescent="0.25">
      <c r="A326" s="1">
        <v>45312</v>
      </c>
      <c r="B326">
        <v>11001</v>
      </c>
      <c r="C326" t="s">
        <v>341</v>
      </c>
      <c r="D326">
        <v>28</v>
      </c>
      <c r="E326">
        <v>7.4126040742848804</v>
      </c>
      <c r="I326"/>
      <c r="J326"/>
      <c r="K326">
        <f>INDEX(Tabelle2!E:E,SUMPRODUCT((Tabelle2!$A$1:$A$1716=B326)*(Tabelle2!$C$1:$C$1716&lt;=A326)*(Tabelle2!$D$1:$D$1716&gt;=A326)*ROW(Tabelle2!$1:$1716)))</f>
        <v>377735</v>
      </c>
      <c r="L326">
        <f t="shared" si="5"/>
        <v>7.4126040742848822</v>
      </c>
    </row>
    <row r="327" spans="1:12" x14ac:dyDescent="0.25">
      <c r="A327" s="1">
        <v>45312</v>
      </c>
      <c r="B327">
        <v>11002</v>
      </c>
      <c r="C327" t="s">
        <v>342</v>
      </c>
      <c r="D327">
        <v>16</v>
      </c>
      <c r="E327">
        <v>5.70062457467996</v>
      </c>
      <c r="I327"/>
      <c r="J327"/>
      <c r="K327">
        <f>INDEX(Tabelle2!E:E,SUMPRODUCT((Tabelle2!$A$1:$A$1716=B327)*(Tabelle2!$C$1:$C$1716&lt;=A327)*(Tabelle2!$D$1:$D$1716&gt;=A327)*ROW(Tabelle2!$1:$1716)))</f>
        <v>280671</v>
      </c>
      <c r="L327">
        <f t="shared" si="5"/>
        <v>5.7006245746799635</v>
      </c>
    </row>
    <row r="328" spans="1:12" x14ac:dyDescent="0.25">
      <c r="A328" s="1">
        <v>45312</v>
      </c>
      <c r="B328">
        <v>11003</v>
      </c>
      <c r="C328" t="s">
        <v>343</v>
      </c>
      <c r="D328">
        <v>26</v>
      </c>
      <c r="E328">
        <v>6.4230042367124103</v>
      </c>
      <c r="I328"/>
      <c r="J328"/>
      <c r="K328">
        <f>INDEX(Tabelle2!E:E,SUMPRODUCT((Tabelle2!$A$1:$A$1716=B328)*(Tabelle2!$C$1:$C$1716&lt;=A328)*(Tabelle2!$D$1:$D$1716&gt;=A328)*ROW(Tabelle2!$1:$1716)))</f>
        <v>404795</v>
      </c>
      <c r="L328">
        <f t="shared" si="5"/>
        <v>6.4230042367124103</v>
      </c>
    </row>
    <row r="329" spans="1:12" x14ac:dyDescent="0.25">
      <c r="A329" s="1">
        <v>45312</v>
      </c>
      <c r="B329">
        <v>11004</v>
      </c>
      <c r="C329" t="s">
        <v>344</v>
      </c>
      <c r="D329">
        <v>21</v>
      </c>
      <c r="E329">
        <v>6.6198235344183498</v>
      </c>
      <c r="I329"/>
      <c r="J329"/>
      <c r="K329">
        <f>INDEX(Tabelle2!E:E,SUMPRODUCT((Tabelle2!$A$1:$A$1716=B329)*(Tabelle2!$C$1:$C$1716&lt;=A329)*(Tabelle2!$D$1:$D$1716&gt;=A329)*ROW(Tabelle2!$1:$1716)))</f>
        <v>317229</v>
      </c>
      <c r="L329">
        <f t="shared" si="5"/>
        <v>6.6198235344183542</v>
      </c>
    </row>
    <row r="330" spans="1:12" x14ac:dyDescent="0.25">
      <c r="A330" s="1">
        <v>45312</v>
      </c>
      <c r="B330">
        <v>11005</v>
      </c>
      <c r="C330" t="s">
        <v>345</v>
      </c>
      <c r="D330">
        <v>18</v>
      </c>
      <c r="E330">
        <v>7.4831006643330404</v>
      </c>
      <c r="I330"/>
      <c r="J330"/>
      <c r="K330">
        <f>INDEX(Tabelle2!E:E,SUMPRODUCT((Tabelle2!$A$1:$A$1716=B330)*(Tabelle2!$C$1:$C$1716&lt;=A330)*(Tabelle2!$D$1:$D$1716&gt;=A330)*ROW(Tabelle2!$1:$1716)))</f>
        <v>240542</v>
      </c>
      <c r="L330">
        <f t="shared" si="5"/>
        <v>7.4831006643330475</v>
      </c>
    </row>
    <row r="331" spans="1:12" x14ac:dyDescent="0.25">
      <c r="A331" s="1">
        <v>45312</v>
      </c>
      <c r="B331">
        <v>11006</v>
      </c>
      <c r="C331" t="s">
        <v>346</v>
      </c>
      <c r="D331">
        <v>15</v>
      </c>
      <c r="E331">
        <v>5.1325041487741796</v>
      </c>
      <c r="I331"/>
      <c r="J331"/>
      <c r="K331">
        <f>INDEX(Tabelle2!E:E,SUMPRODUCT((Tabelle2!$A$1:$A$1716=B331)*(Tabelle2!$C$1:$C$1716&lt;=A331)*(Tabelle2!$D$1:$D$1716&gt;=A331)*ROW(Tabelle2!$1:$1716)))</f>
        <v>292255</v>
      </c>
      <c r="L331">
        <f t="shared" si="5"/>
        <v>5.1325041487741876</v>
      </c>
    </row>
    <row r="332" spans="1:12" x14ac:dyDescent="0.25">
      <c r="A332" s="1">
        <v>45312</v>
      </c>
      <c r="B332">
        <v>11007</v>
      </c>
      <c r="C332" t="s">
        <v>499</v>
      </c>
      <c r="D332">
        <v>11</v>
      </c>
      <c r="E332">
        <v>3.2136961888484699</v>
      </c>
      <c r="I332"/>
      <c r="J332"/>
      <c r="K332">
        <f>INDEX(Tabelle2!E:E,SUMPRODUCT((Tabelle2!$A$1:$A$1716=B332)*(Tabelle2!$C$1:$C$1716&lt;=A332)*(Tabelle2!$D$1:$D$1716&gt;=A332)*ROW(Tabelle2!$1:$1716)))</f>
        <v>342285</v>
      </c>
      <c r="L332">
        <f t="shared" si="5"/>
        <v>3.2136961888484743</v>
      </c>
    </row>
    <row r="333" spans="1:12" x14ac:dyDescent="0.25">
      <c r="A333" s="1">
        <v>45312</v>
      </c>
      <c r="B333">
        <v>11008</v>
      </c>
      <c r="C333" t="s">
        <v>500</v>
      </c>
      <c r="D333">
        <v>23</v>
      </c>
      <c r="E333">
        <v>7.1829208879339399</v>
      </c>
      <c r="I333"/>
      <c r="J333"/>
      <c r="K333">
        <f>INDEX(Tabelle2!E:E,SUMPRODUCT((Tabelle2!$A$1:$A$1716=B333)*(Tabelle2!$C$1:$C$1716&lt;=A333)*(Tabelle2!$D$1:$D$1716&gt;=A333)*ROW(Tabelle2!$1:$1716)))</f>
        <v>320204</v>
      </c>
      <c r="L333">
        <f t="shared" si="5"/>
        <v>7.1829208879339426</v>
      </c>
    </row>
    <row r="334" spans="1:12" x14ac:dyDescent="0.25">
      <c r="A334" s="1">
        <v>45312</v>
      </c>
      <c r="B334">
        <v>11009</v>
      </c>
      <c r="C334" t="s">
        <v>501</v>
      </c>
      <c r="D334">
        <v>23</v>
      </c>
      <c r="E334">
        <v>8.4191106490768206</v>
      </c>
      <c r="I334"/>
      <c r="J334"/>
      <c r="K334">
        <f>INDEX(Tabelle2!E:E,SUMPRODUCT((Tabelle2!$A$1:$A$1716=B334)*(Tabelle2!$C$1:$C$1716&lt;=A334)*(Tabelle2!$D$1:$D$1716&gt;=A334)*ROW(Tabelle2!$1:$1716)))</f>
        <v>273188</v>
      </c>
      <c r="L334">
        <f t="shared" si="5"/>
        <v>8.4191106490768259</v>
      </c>
    </row>
    <row r="335" spans="1:12" x14ac:dyDescent="0.25">
      <c r="A335" s="1">
        <v>45312</v>
      </c>
      <c r="B335">
        <v>11010</v>
      </c>
      <c r="C335" t="s">
        <v>350</v>
      </c>
      <c r="D335">
        <v>13</v>
      </c>
      <c r="E335">
        <v>4.72980102090935</v>
      </c>
      <c r="I335"/>
      <c r="J335"/>
      <c r="K335">
        <f>INDEX(Tabelle2!E:E,SUMPRODUCT((Tabelle2!$A$1:$A$1716=B335)*(Tabelle2!$C$1:$C$1716&lt;=A335)*(Tabelle2!$D$1:$D$1716&gt;=A335)*ROW(Tabelle2!$1:$1716)))</f>
        <v>274853</v>
      </c>
      <c r="L335">
        <f t="shared" si="5"/>
        <v>4.7298010209093588</v>
      </c>
    </row>
    <row r="336" spans="1:12" x14ac:dyDescent="0.25">
      <c r="A336" s="1">
        <v>45312</v>
      </c>
      <c r="B336">
        <v>11011</v>
      </c>
      <c r="C336" t="s">
        <v>351</v>
      </c>
      <c r="D336">
        <v>13</v>
      </c>
      <c r="E336">
        <v>4.43475620780585</v>
      </c>
      <c r="I336"/>
      <c r="J336"/>
      <c r="K336">
        <f>INDEX(Tabelle2!E:E,SUMPRODUCT((Tabelle2!$A$1:$A$1716=B336)*(Tabelle2!$C$1:$C$1716&lt;=A336)*(Tabelle2!$D$1:$D$1716&gt;=A336)*ROW(Tabelle2!$1:$1716)))</f>
        <v>293139</v>
      </c>
      <c r="L336">
        <f t="shared" si="5"/>
        <v>4.4347562078058527</v>
      </c>
    </row>
    <row r="337" spans="1:12" x14ac:dyDescent="0.25">
      <c r="A337" s="1">
        <v>45312</v>
      </c>
      <c r="B337">
        <v>11012</v>
      </c>
      <c r="C337" t="s">
        <v>352</v>
      </c>
      <c r="D337">
        <v>19</v>
      </c>
      <c r="E337">
        <v>7.2915387449343001</v>
      </c>
      <c r="I337"/>
      <c r="J337"/>
      <c r="K337">
        <f>INDEX(Tabelle2!E:E,SUMPRODUCT((Tabelle2!$A$1:$A$1716=B337)*(Tabelle2!$C$1:$C$1716&lt;=A337)*(Tabelle2!$D$1:$D$1716&gt;=A337)*ROW(Tabelle2!$1:$1716)))</f>
        <v>260576</v>
      </c>
      <c r="L337">
        <f t="shared" si="5"/>
        <v>7.2915387449343001</v>
      </c>
    </row>
    <row r="338" spans="1:12" x14ac:dyDescent="0.25">
      <c r="A338" s="1">
        <v>45312</v>
      </c>
      <c r="B338">
        <v>12051</v>
      </c>
      <c r="C338" t="s">
        <v>354</v>
      </c>
      <c r="D338">
        <v>1</v>
      </c>
      <c r="E338">
        <v>1.38005271801382</v>
      </c>
      <c r="I338"/>
      <c r="J338"/>
      <c r="K338">
        <f>INDEX(Tabelle2!E:E,SUMPRODUCT((Tabelle2!$A$1:$A$1716=B338)*(Tabelle2!$C$1:$C$1716&lt;=A338)*(Tabelle2!$D$1:$D$1716&gt;=A338)*ROW(Tabelle2!$1:$1716)))</f>
        <v>72461</v>
      </c>
      <c r="L338">
        <f t="shared" si="5"/>
        <v>1.3800527180138282</v>
      </c>
    </row>
    <row r="339" spans="1:12" x14ac:dyDescent="0.25">
      <c r="A339" s="1">
        <v>45312</v>
      </c>
      <c r="B339">
        <v>12052</v>
      </c>
      <c r="C339" t="s">
        <v>355</v>
      </c>
      <c r="D339">
        <v>8</v>
      </c>
      <c r="E339">
        <v>8.13347024674915</v>
      </c>
      <c r="I339"/>
      <c r="J339"/>
      <c r="K339">
        <f>INDEX(Tabelle2!E:E,SUMPRODUCT((Tabelle2!$A$1:$A$1716=B339)*(Tabelle2!$C$1:$C$1716&lt;=A339)*(Tabelle2!$D$1:$D$1716&gt;=A339)*ROW(Tabelle2!$1:$1716)))</f>
        <v>98359</v>
      </c>
      <c r="L339">
        <f t="shared" si="5"/>
        <v>8.1334702467491535</v>
      </c>
    </row>
    <row r="340" spans="1:12" x14ac:dyDescent="0.25">
      <c r="A340" s="1">
        <v>45312</v>
      </c>
      <c r="B340">
        <v>12053</v>
      </c>
      <c r="C340" t="s">
        <v>356</v>
      </c>
      <c r="D340">
        <v>7</v>
      </c>
      <c r="E340">
        <v>12.3502531801901</v>
      </c>
      <c r="I340"/>
      <c r="J340"/>
      <c r="K340">
        <f>INDEX(Tabelle2!E:E,SUMPRODUCT((Tabelle2!$A$1:$A$1716=B340)*(Tabelle2!$C$1:$C$1716&lt;=A340)*(Tabelle2!$D$1:$D$1716&gt;=A340)*ROW(Tabelle2!$1:$1716)))</f>
        <v>56679</v>
      </c>
      <c r="L340">
        <f t="shared" si="5"/>
        <v>12.350253180190194</v>
      </c>
    </row>
    <row r="341" spans="1:12" x14ac:dyDescent="0.25">
      <c r="A341" s="1">
        <v>45312</v>
      </c>
      <c r="B341">
        <v>12054</v>
      </c>
      <c r="C341" t="s">
        <v>357</v>
      </c>
      <c r="D341">
        <v>5</v>
      </c>
      <c r="E341">
        <v>2.7299431079856298</v>
      </c>
      <c r="I341"/>
      <c r="J341"/>
      <c r="K341">
        <f>INDEX(Tabelle2!E:E,SUMPRODUCT((Tabelle2!$A$1:$A$1716=B341)*(Tabelle2!$C$1:$C$1716&lt;=A341)*(Tabelle2!$D$1:$D$1716&gt;=A341)*ROW(Tabelle2!$1:$1716)))</f>
        <v>183154</v>
      </c>
      <c r="L341">
        <f t="shared" si="5"/>
        <v>2.7299431079856298</v>
      </c>
    </row>
    <row r="342" spans="1:12" x14ac:dyDescent="0.25">
      <c r="A342" s="1">
        <v>45312</v>
      </c>
      <c r="B342">
        <v>12060</v>
      </c>
      <c r="C342" t="s">
        <v>358</v>
      </c>
      <c r="D342">
        <v>6</v>
      </c>
      <c r="E342">
        <v>3.1773770752243999</v>
      </c>
      <c r="I342"/>
      <c r="J342"/>
      <c r="K342">
        <f>INDEX(Tabelle2!E:E,SUMPRODUCT((Tabelle2!$A$1:$A$1716=B342)*(Tabelle2!$C$1:$C$1716&lt;=A342)*(Tabelle2!$D$1:$D$1716&gt;=A342)*ROW(Tabelle2!$1:$1716)))</f>
        <v>188835</v>
      </c>
      <c r="L342">
        <f t="shared" si="5"/>
        <v>3.1773770752244022</v>
      </c>
    </row>
    <row r="343" spans="1:12" x14ac:dyDescent="0.25">
      <c r="A343" s="1">
        <v>45312</v>
      </c>
      <c r="B343">
        <v>12061</v>
      </c>
      <c r="C343" t="s">
        <v>359</v>
      </c>
      <c r="D343">
        <v>11</v>
      </c>
      <c r="E343">
        <v>6.25590045156226</v>
      </c>
      <c r="I343"/>
      <c r="J343"/>
      <c r="K343">
        <f>INDEX(Tabelle2!E:E,SUMPRODUCT((Tabelle2!$A$1:$A$1716=B343)*(Tabelle2!$C$1:$C$1716&lt;=A343)*(Tabelle2!$D$1:$D$1716&gt;=A343)*ROW(Tabelle2!$1:$1716)))</f>
        <v>175834</v>
      </c>
      <c r="L343">
        <f t="shared" si="5"/>
        <v>6.2559004515622689</v>
      </c>
    </row>
    <row r="344" spans="1:12" x14ac:dyDescent="0.25">
      <c r="A344" s="1">
        <v>45312</v>
      </c>
      <c r="B344">
        <v>12062</v>
      </c>
      <c r="C344" t="s">
        <v>360</v>
      </c>
      <c r="D344">
        <v>7</v>
      </c>
      <c r="E344">
        <v>6.9778801200195302</v>
      </c>
      <c r="I344"/>
      <c r="J344"/>
      <c r="K344">
        <f>INDEX(Tabelle2!E:E,SUMPRODUCT((Tabelle2!$A$1:$A$1716=B344)*(Tabelle2!$C$1:$C$1716&lt;=A344)*(Tabelle2!$D$1:$D$1716&gt;=A344)*ROW(Tabelle2!$1:$1716)))</f>
        <v>100317</v>
      </c>
      <c r="L344">
        <f t="shared" si="5"/>
        <v>6.9778801200195373</v>
      </c>
    </row>
    <row r="345" spans="1:12" x14ac:dyDescent="0.25">
      <c r="A345" s="1">
        <v>45312</v>
      </c>
      <c r="B345">
        <v>12063</v>
      </c>
      <c r="C345" t="s">
        <v>361</v>
      </c>
      <c r="D345">
        <v>6</v>
      </c>
      <c r="E345">
        <v>3.6165057321615799</v>
      </c>
      <c r="I345"/>
      <c r="J345"/>
      <c r="K345">
        <f>INDEX(Tabelle2!E:E,SUMPRODUCT((Tabelle2!$A$1:$A$1716=B345)*(Tabelle2!$C$1:$C$1716&lt;=A345)*(Tabelle2!$D$1:$D$1716&gt;=A345)*ROW(Tabelle2!$1:$1716)))</f>
        <v>165906</v>
      </c>
      <c r="L345">
        <f t="shared" si="5"/>
        <v>3.6165057321615857</v>
      </c>
    </row>
    <row r="346" spans="1:12" x14ac:dyDescent="0.25">
      <c r="A346" s="1">
        <v>45312</v>
      </c>
      <c r="B346">
        <v>12064</v>
      </c>
      <c r="C346" t="s">
        <v>502</v>
      </c>
      <c r="D346">
        <v>13</v>
      </c>
      <c r="E346">
        <v>6.5668173667062302</v>
      </c>
      <c r="I346"/>
      <c r="J346"/>
      <c r="K346">
        <f>INDEX(Tabelle2!E:E,SUMPRODUCT((Tabelle2!$A$1:$A$1716=B346)*(Tabelle2!$C$1:$C$1716&lt;=A346)*(Tabelle2!$D$1:$D$1716&gt;=A346)*ROW(Tabelle2!$1:$1716)))</f>
        <v>197965</v>
      </c>
      <c r="L346">
        <f t="shared" si="5"/>
        <v>6.5668173667062364</v>
      </c>
    </row>
    <row r="347" spans="1:12" x14ac:dyDescent="0.25">
      <c r="A347" s="1">
        <v>45312</v>
      </c>
      <c r="B347">
        <v>12065</v>
      </c>
      <c r="C347" t="s">
        <v>363</v>
      </c>
      <c r="D347">
        <v>9</v>
      </c>
      <c r="E347">
        <v>4.1706248986306402</v>
      </c>
      <c r="I347"/>
      <c r="J347"/>
      <c r="K347">
        <f>INDEX(Tabelle2!E:E,SUMPRODUCT((Tabelle2!$A$1:$A$1716=B347)*(Tabelle2!$C$1:$C$1716&lt;=A347)*(Tabelle2!$D$1:$D$1716&gt;=A347)*ROW(Tabelle2!$1:$1716)))</f>
        <v>215795</v>
      </c>
      <c r="L347">
        <f t="shared" si="5"/>
        <v>4.1706248986306447</v>
      </c>
    </row>
    <row r="348" spans="1:12" x14ac:dyDescent="0.25">
      <c r="A348" s="1">
        <v>45312</v>
      </c>
      <c r="B348">
        <v>12066</v>
      </c>
      <c r="C348" t="s">
        <v>364</v>
      </c>
      <c r="D348">
        <v>3</v>
      </c>
      <c r="E348">
        <v>2.7891928076014798</v>
      </c>
      <c r="I348"/>
      <c r="J348"/>
      <c r="K348">
        <f>INDEX(Tabelle2!E:E,SUMPRODUCT((Tabelle2!$A$1:$A$1716=B348)*(Tabelle2!$C$1:$C$1716&lt;=A348)*(Tabelle2!$D$1:$D$1716&gt;=A348)*ROW(Tabelle2!$1:$1716)))</f>
        <v>107558</v>
      </c>
      <c r="L348">
        <f t="shared" si="5"/>
        <v>2.7891928076014798</v>
      </c>
    </row>
    <row r="349" spans="1:12" x14ac:dyDescent="0.25">
      <c r="A349" s="1">
        <v>45312</v>
      </c>
      <c r="B349">
        <v>12067</v>
      </c>
      <c r="C349" t="s">
        <v>365</v>
      </c>
      <c r="D349">
        <v>13</v>
      </c>
      <c r="E349">
        <v>7.25264303048899</v>
      </c>
      <c r="I349"/>
      <c r="J349"/>
      <c r="K349">
        <f>INDEX(Tabelle2!E:E,SUMPRODUCT((Tabelle2!$A$1:$A$1716=B349)*(Tabelle2!$C$1:$C$1716&lt;=A349)*(Tabelle2!$D$1:$D$1716&gt;=A349)*ROW(Tabelle2!$1:$1716)))</f>
        <v>179245</v>
      </c>
      <c r="L349">
        <f t="shared" si="5"/>
        <v>7.2526430304889953</v>
      </c>
    </row>
    <row r="350" spans="1:12" x14ac:dyDescent="0.25">
      <c r="A350" s="1">
        <v>45312</v>
      </c>
      <c r="B350">
        <v>12068</v>
      </c>
      <c r="C350" t="s">
        <v>366</v>
      </c>
      <c r="D350">
        <v>9</v>
      </c>
      <c r="E350">
        <v>9.1066387396411894</v>
      </c>
      <c r="I350"/>
      <c r="J350"/>
      <c r="K350">
        <f>INDEX(Tabelle2!E:E,SUMPRODUCT((Tabelle2!$A$1:$A$1716=B350)*(Tabelle2!$C$1:$C$1716&lt;=A350)*(Tabelle2!$D$1:$D$1716&gt;=A350)*ROW(Tabelle2!$1:$1716)))</f>
        <v>98829</v>
      </c>
      <c r="L350">
        <f t="shared" si="5"/>
        <v>9.1066387396411983</v>
      </c>
    </row>
    <row r="351" spans="1:12" x14ac:dyDescent="0.25">
      <c r="A351" s="1">
        <v>45312</v>
      </c>
      <c r="B351">
        <v>12069</v>
      </c>
      <c r="C351" t="s">
        <v>367</v>
      </c>
      <c r="D351">
        <v>13</v>
      </c>
      <c r="E351">
        <v>5.9219846848365298</v>
      </c>
      <c r="I351"/>
      <c r="J351"/>
      <c r="K351">
        <f>INDEX(Tabelle2!E:E,SUMPRODUCT((Tabelle2!$A$1:$A$1716=B351)*(Tabelle2!$C$1:$C$1716&lt;=A351)*(Tabelle2!$D$1:$D$1716&gt;=A351)*ROW(Tabelle2!$1:$1716)))</f>
        <v>219521</v>
      </c>
      <c r="L351">
        <f t="shared" si="5"/>
        <v>5.9219846848365307</v>
      </c>
    </row>
    <row r="352" spans="1:12" x14ac:dyDescent="0.25">
      <c r="A352" s="1">
        <v>45312</v>
      </c>
      <c r="B352">
        <v>12070</v>
      </c>
      <c r="C352" t="s">
        <v>368</v>
      </c>
      <c r="D352">
        <v>12</v>
      </c>
      <c r="E352">
        <v>15.8784767247995</v>
      </c>
      <c r="I352"/>
      <c r="J352"/>
      <c r="K352">
        <f>INDEX(Tabelle2!E:E,SUMPRODUCT((Tabelle2!$A$1:$A$1716=B352)*(Tabelle2!$C$1:$C$1716&lt;=A352)*(Tabelle2!$D$1:$D$1716&gt;=A352)*ROW(Tabelle2!$1:$1716)))</f>
        <v>75574</v>
      </c>
      <c r="L352">
        <f t="shared" si="5"/>
        <v>15.878476724799533</v>
      </c>
    </row>
    <row r="353" spans="1:12" x14ac:dyDescent="0.25">
      <c r="A353" s="1">
        <v>45312</v>
      </c>
      <c r="B353">
        <v>12071</v>
      </c>
      <c r="C353" t="s">
        <v>503</v>
      </c>
      <c r="D353">
        <v>10</v>
      </c>
      <c r="E353">
        <v>8.9321602429547493</v>
      </c>
      <c r="I353"/>
      <c r="J353"/>
      <c r="K353">
        <f>INDEX(Tabelle2!E:E,SUMPRODUCT((Tabelle2!$A$1:$A$1716=B353)*(Tabelle2!$C$1:$C$1716&lt;=A353)*(Tabelle2!$D$1:$D$1716&gt;=A353)*ROW(Tabelle2!$1:$1716)))</f>
        <v>111955</v>
      </c>
      <c r="L353">
        <f t="shared" si="5"/>
        <v>8.9321602429547582</v>
      </c>
    </row>
    <row r="354" spans="1:12" x14ac:dyDescent="0.25">
      <c r="A354" s="1">
        <v>45312</v>
      </c>
      <c r="B354">
        <v>12072</v>
      </c>
      <c r="C354" t="s">
        <v>504</v>
      </c>
      <c r="D354">
        <v>8</v>
      </c>
      <c r="E354">
        <v>4.6364716450780898</v>
      </c>
      <c r="I354"/>
      <c r="J354"/>
      <c r="K354">
        <f>INDEX(Tabelle2!E:E,SUMPRODUCT((Tabelle2!$A$1:$A$1716=B354)*(Tabelle2!$C$1:$C$1716&lt;=A354)*(Tabelle2!$D$1:$D$1716&gt;=A354)*ROW(Tabelle2!$1:$1716)))</f>
        <v>172545</v>
      </c>
      <c r="L354">
        <f t="shared" si="5"/>
        <v>4.6364716450780961</v>
      </c>
    </row>
    <row r="355" spans="1:12" x14ac:dyDescent="0.25">
      <c r="A355" s="1">
        <v>45312</v>
      </c>
      <c r="B355">
        <v>12073</v>
      </c>
      <c r="C355" t="s">
        <v>371</v>
      </c>
      <c r="D355">
        <v>13</v>
      </c>
      <c r="E355">
        <v>11.079293652416901</v>
      </c>
      <c r="I355"/>
      <c r="J355"/>
      <c r="K355">
        <f>INDEX(Tabelle2!E:E,SUMPRODUCT((Tabelle2!$A$1:$A$1716=B355)*(Tabelle2!$C$1:$C$1716&lt;=A355)*(Tabelle2!$D$1:$D$1716&gt;=A355)*ROW(Tabelle2!$1:$1716)))</f>
        <v>117336</v>
      </c>
      <c r="L355">
        <f t="shared" si="5"/>
        <v>11.079293652416991</v>
      </c>
    </row>
    <row r="356" spans="1:12" x14ac:dyDescent="0.25">
      <c r="A356" s="1">
        <v>45312</v>
      </c>
      <c r="B356">
        <v>13003</v>
      </c>
      <c r="C356" t="s">
        <v>373</v>
      </c>
      <c r="D356">
        <v>36</v>
      </c>
      <c r="E356">
        <v>17.274472168905898</v>
      </c>
      <c r="I356"/>
      <c r="J356"/>
      <c r="K356">
        <f>INDEX(Tabelle2!E:E,SUMPRODUCT((Tabelle2!$A$1:$A$1716=B356)*(Tabelle2!$C$1:$C$1716&lt;=A356)*(Tabelle2!$D$1:$D$1716&gt;=A356)*ROW(Tabelle2!$1:$1716)))</f>
        <v>208400</v>
      </c>
      <c r="L356">
        <f t="shared" si="5"/>
        <v>17.274472168905948</v>
      </c>
    </row>
    <row r="357" spans="1:12" x14ac:dyDescent="0.25">
      <c r="A357" s="1">
        <v>45312</v>
      </c>
      <c r="B357">
        <v>13004</v>
      </c>
      <c r="C357" t="s">
        <v>374</v>
      </c>
      <c r="D357">
        <v>1</v>
      </c>
      <c r="E357">
        <v>1.04449550866931</v>
      </c>
      <c r="I357"/>
      <c r="J357"/>
      <c r="K357">
        <f>INDEX(Tabelle2!E:E,SUMPRODUCT((Tabelle2!$A$1:$A$1716=B357)*(Tabelle2!$C$1:$C$1716&lt;=A357)*(Tabelle2!$D$1:$D$1716&gt;=A357)*ROW(Tabelle2!$1:$1716)))</f>
        <v>95740</v>
      </c>
      <c r="L357">
        <f t="shared" si="5"/>
        <v>1.0444955086693126</v>
      </c>
    </row>
    <row r="358" spans="1:12" x14ac:dyDescent="0.25">
      <c r="A358" s="1">
        <v>45312</v>
      </c>
      <c r="B358">
        <v>13071</v>
      </c>
      <c r="C358" t="s">
        <v>375</v>
      </c>
      <c r="D358">
        <v>27</v>
      </c>
      <c r="E358">
        <v>10.4844189884477</v>
      </c>
      <c r="I358"/>
      <c r="J358"/>
      <c r="K358">
        <f>INDEX(Tabelle2!E:E,SUMPRODUCT((Tabelle2!$A$1:$A$1716=B358)*(Tabelle2!$C$1:$C$1716&lt;=A358)*(Tabelle2!$D$1:$D$1716&gt;=A358)*ROW(Tabelle2!$1:$1716)))</f>
        <v>257525</v>
      </c>
      <c r="L358">
        <f t="shared" si="5"/>
        <v>10.484418988447723</v>
      </c>
    </row>
    <row r="359" spans="1:12" x14ac:dyDescent="0.25">
      <c r="A359" s="1">
        <v>45312</v>
      </c>
      <c r="B359">
        <v>13072</v>
      </c>
      <c r="C359" t="s">
        <v>376</v>
      </c>
      <c r="D359">
        <v>11</v>
      </c>
      <c r="E359">
        <v>5.0505978071222604</v>
      </c>
      <c r="I359"/>
      <c r="J359"/>
      <c r="K359">
        <f>INDEX(Tabelle2!E:E,SUMPRODUCT((Tabelle2!$A$1:$A$1716=B359)*(Tabelle2!$C$1:$C$1716&lt;=A359)*(Tabelle2!$D$1:$D$1716&gt;=A359)*ROW(Tabelle2!$1:$1716)))</f>
        <v>217796</v>
      </c>
      <c r="L359">
        <f t="shared" si="5"/>
        <v>5.0505978071222613</v>
      </c>
    </row>
    <row r="360" spans="1:12" x14ac:dyDescent="0.25">
      <c r="A360" s="1">
        <v>45312</v>
      </c>
      <c r="B360">
        <v>13073</v>
      </c>
      <c r="C360" t="s">
        <v>505</v>
      </c>
      <c r="D360">
        <v>0</v>
      </c>
      <c r="E360">
        <v>0</v>
      </c>
      <c r="I360"/>
      <c r="J360"/>
      <c r="K360">
        <f>INDEX(Tabelle2!E:E,SUMPRODUCT((Tabelle2!$A$1:$A$1716=B360)*(Tabelle2!$C$1:$C$1716&lt;=A360)*(Tabelle2!$D$1:$D$1716&gt;=A360)*ROW(Tabelle2!$1:$1716)))</f>
        <v>225900</v>
      </c>
      <c r="L360">
        <f t="shared" si="5"/>
        <v>0</v>
      </c>
    </row>
    <row r="361" spans="1:12" x14ac:dyDescent="0.25">
      <c r="A361" s="1">
        <v>45312</v>
      </c>
      <c r="B361">
        <v>13074</v>
      </c>
      <c r="C361" t="s">
        <v>378</v>
      </c>
      <c r="D361">
        <v>16</v>
      </c>
      <c r="E361">
        <v>10.0978863861557</v>
      </c>
      <c r="I361"/>
      <c r="J361"/>
      <c r="K361">
        <f>INDEX(Tabelle2!E:E,SUMPRODUCT((Tabelle2!$A$1:$A$1716=B361)*(Tabelle2!$C$1:$C$1716&lt;=A361)*(Tabelle2!$D$1:$D$1716&gt;=A361)*ROW(Tabelle2!$1:$1716)))</f>
        <v>158449</v>
      </c>
      <c r="L361">
        <f t="shared" si="5"/>
        <v>10.097886386155798</v>
      </c>
    </row>
    <row r="362" spans="1:12" x14ac:dyDescent="0.25">
      <c r="A362" s="1">
        <v>45312</v>
      </c>
      <c r="B362">
        <v>13075</v>
      </c>
      <c r="C362" t="s">
        <v>379</v>
      </c>
      <c r="D362">
        <v>13</v>
      </c>
      <c r="E362">
        <v>5.5213186607829199</v>
      </c>
      <c r="I362"/>
      <c r="J362"/>
      <c r="K362">
        <f>INDEX(Tabelle2!E:E,SUMPRODUCT((Tabelle2!$A$1:$A$1716=B362)*(Tabelle2!$C$1:$C$1716&lt;=A362)*(Tabelle2!$D$1:$D$1716&gt;=A362)*ROW(Tabelle2!$1:$1716)))</f>
        <v>235451</v>
      </c>
      <c r="L362">
        <f t="shared" si="5"/>
        <v>5.5213186607829225</v>
      </c>
    </row>
    <row r="363" spans="1:12" x14ac:dyDescent="0.25">
      <c r="A363" s="1">
        <v>45312</v>
      </c>
      <c r="B363">
        <v>13076</v>
      </c>
      <c r="C363" t="s">
        <v>380</v>
      </c>
      <c r="D363">
        <v>14</v>
      </c>
      <c r="E363">
        <v>6.6069212219028799</v>
      </c>
      <c r="I363"/>
      <c r="J363"/>
      <c r="K363">
        <f>INDEX(Tabelle2!E:E,SUMPRODUCT((Tabelle2!$A$1:$A$1716=B363)*(Tabelle2!$C$1:$C$1716&lt;=A363)*(Tabelle2!$D$1:$D$1716&gt;=A363)*ROW(Tabelle2!$1:$1716)))</f>
        <v>211899</v>
      </c>
      <c r="L363">
        <f t="shared" si="5"/>
        <v>6.6069212219028888</v>
      </c>
    </row>
    <row r="364" spans="1:12" x14ac:dyDescent="0.25">
      <c r="A364" s="1">
        <v>45312</v>
      </c>
      <c r="B364">
        <v>14511</v>
      </c>
      <c r="C364" t="s">
        <v>382</v>
      </c>
      <c r="D364">
        <v>25</v>
      </c>
      <c r="E364">
        <v>10.28362230312</v>
      </c>
      <c r="I364"/>
      <c r="J364"/>
      <c r="K364">
        <f>INDEX(Tabelle2!E:E,SUMPRODUCT((Tabelle2!$A$1:$A$1716=B364)*(Tabelle2!$C$1:$C$1716&lt;=A364)*(Tabelle2!$D$1:$D$1716&gt;=A364)*ROW(Tabelle2!$1:$1716)))</f>
        <v>243105</v>
      </c>
      <c r="L364">
        <f t="shared" si="5"/>
        <v>10.283622303120051</v>
      </c>
    </row>
    <row r="365" spans="1:12" x14ac:dyDescent="0.25">
      <c r="A365" s="1">
        <v>45312</v>
      </c>
      <c r="B365">
        <v>14521</v>
      </c>
      <c r="C365" t="s">
        <v>383</v>
      </c>
      <c r="D365">
        <v>35</v>
      </c>
      <c r="E365">
        <v>10.648169275468099</v>
      </c>
      <c r="I365"/>
      <c r="J365"/>
      <c r="K365">
        <f>INDEX(Tabelle2!E:E,SUMPRODUCT((Tabelle2!$A$1:$A$1716=B365)*(Tabelle2!$C$1:$C$1716&lt;=A365)*(Tabelle2!$D$1:$D$1716&gt;=A365)*ROW(Tabelle2!$1:$1716)))</f>
        <v>328695</v>
      </c>
      <c r="L365">
        <f t="shared" si="5"/>
        <v>10.648169275468138</v>
      </c>
    </row>
    <row r="366" spans="1:12" x14ac:dyDescent="0.25">
      <c r="A366" s="1">
        <v>45312</v>
      </c>
      <c r="B366">
        <v>14522</v>
      </c>
      <c r="C366" t="s">
        <v>384</v>
      </c>
      <c r="D366">
        <v>15</v>
      </c>
      <c r="E366">
        <v>5.0112084027942503</v>
      </c>
      <c r="I366"/>
      <c r="J366"/>
      <c r="K366">
        <f>INDEX(Tabelle2!E:E,SUMPRODUCT((Tabelle2!$A$1:$A$1716=B366)*(Tabelle2!$C$1:$C$1716&lt;=A366)*(Tabelle2!$D$1:$D$1716&gt;=A366)*ROW(Tabelle2!$1:$1716)))</f>
        <v>299329</v>
      </c>
      <c r="L366">
        <f t="shared" si="5"/>
        <v>5.0112084027942503</v>
      </c>
    </row>
    <row r="367" spans="1:12" x14ac:dyDescent="0.25">
      <c r="A367" s="1">
        <v>45312</v>
      </c>
      <c r="B367">
        <v>14523</v>
      </c>
      <c r="C367" t="s">
        <v>385</v>
      </c>
      <c r="D367">
        <v>13</v>
      </c>
      <c r="E367">
        <v>5.8723619543220504</v>
      </c>
      <c r="I367"/>
      <c r="J367"/>
      <c r="K367">
        <f>INDEX(Tabelle2!E:E,SUMPRODUCT((Tabelle2!$A$1:$A$1716=B367)*(Tabelle2!$C$1:$C$1716&lt;=A367)*(Tabelle2!$D$1:$D$1716&gt;=A367)*ROW(Tabelle2!$1:$1716)))</f>
        <v>221376</v>
      </c>
      <c r="L367">
        <f t="shared" si="5"/>
        <v>5.8723619543220584</v>
      </c>
    </row>
    <row r="368" spans="1:12" x14ac:dyDescent="0.25">
      <c r="A368" s="1">
        <v>45312</v>
      </c>
      <c r="B368">
        <v>14524</v>
      </c>
      <c r="C368" t="s">
        <v>386</v>
      </c>
      <c r="D368">
        <v>28</v>
      </c>
      <c r="E368">
        <v>9.0433142454807598</v>
      </c>
      <c r="I368"/>
      <c r="J368"/>
      <c r="K368">
        <f>INDEX(Tabelle2!E:E,SUMPRODUCT((Tabelle2!$A$1:$A$1716=B368)*(Tabelle2!$C$1:$C$1716&lt;=A368)*(Tabelle2!$D$1:$D$1716&gt;=A368)*ROW(Tabelle2!$1:$1716)))</f>
        <v>309621</v>
      </c>
      <c r="L368">
        <f t="shared" si="5"/>
        <v>9.0433142454807651</v>
      </c>
    </row>
    <row r="369" spans="1:12" x14ac:dyDescent="0.25">
      <c r="A369" s="1">
        <v>45312</v>
      </c>
      <c r="B369">
        <v>14612</v>
      </c>
      <c r="C369" t="s">
        <v>387</v>
      </c>
      <c r="D369">
        <v>40</v>
      </c>
      <c r="E369">
        <v>7.2026520164724603</v>
      </c>
      <c r="I369"/>
      <c r="J369"/>
      <c r="K369">
        <f>INDEX(Tabelle2!E:E,SUMPRODUCT((Tabelle2!$A$1:$A$1716=B369)*(Tabelle2!$C$1:$C$1716&lt;=A369)*(Tabelle2!$D$1:$D$1716&gt;=A369)*ROW(Tabelle2!$1:$1716)))</f>
        <v>555351</v>
      </c>
      <c r="L369">
        <f t="shared" si="5"/>
        <v>7.2026520164724657</v>
      </c>
    </row>
    <row r="370" spans="1:12" x14ac:dyDescent="0.25">
      <c r="A370" s="1">
        <v>45312</v>
      </c>
      <c r="B370">
        <v>14625</v>
      </c>
      <c r="C370" t="s">
        <v>388</v>
      </c>
      <c r="D370">
        <v>23</v>
      </c>
      <c r="E370">
        <v>7.7626649566303199</v>
      </c>
      <c r="I370"/>
      <c r="J370"/>
      <c r="K370">
        <f>INDEX(Tabelle2!E:E,SUMPRODUCT((Tabelle2!$A$1:$A$1716=B370)*(Tabelle2!$C$1:$C$1716&lt;=A370)*(Tabelle2!$D$1:$D$1716&gt;=A370)*ROW(Tabelle2!$1:$1716)))</f>
        <v>296290</v>
      </c>
      <c r="L370">
        <f t="shared" si="5"/>
        <v>7.7626649566303287</v>
      </c>
    </row>
    <row r="371" spans="1:12" x14ac:dyDescent="0.25">
      <c r="A371" s="1">
        <v>45312</v>
      </c>
      <c r="B371">
        <v>14626</v>
      </c>
      <c r="C371" t="s">
        <v>506</v>
      </c>
      <c r="D371">
        <v>14</v>
      </c>
      <c r="E371">
        <v>5.6389538934962697</v>
      </c>
      <c r="I371"/>
      <c r="J371"/>
      <c r="K371">
        <f>INDEX(Tabelle2!E:E,SUMPRODUCT((Tabelle2!$A$1:$A$1716=B371)*(Tabelle2!$C$1:$C$1716&lt;=A371)*(Tabelle2!$D$1:$D$1716&gt;=A371)*ROW(Tabelle2!$1:$1716)))</f>
        <v>248273</v>
      </c>
      <c r="L371">
        <f t="shared" si="5"/>
        <v>5.6389538934962724</v>
      </c>
    </row>
    <row r="372" spans="1:12" x14ac:dyDescent="0.25">
      <c r="A372" s="1">
        <v>45312</v>
      </c>
      <c r="B372">
        <v>14627</v>
      </c>
      <c r="C372" t="s">
        <v>507</v>
      </c>
      <c r="D372">
        <v>16</v>
      </c>
      <c r="E372">
        <v>6.6849388328096797</v>
      </c>
      <c r="I372"/>
      <c r="J372"/>
      <c r="K372">
        <f>INDEX(Tabelle2!E:E,SUMPRODUCT((Tabelle2!$A$1:$A$1716=B372)*(Tabelle2!$C$1:$C$1716&lt;=A372)*(Tabelle2!$D$1:$D$1716&gt;=A372)*ROW(Tabelle2!$1:$1716)))</f>
        <v>239344</v>
      </c>
      <c r="L372">
        <f t="shared" si="5"/>
        <v>6.6849388328096797</v>
      </c>
    </row>
    <row r="373" spans="1:12" x14ac:dyDescent="0.25">
      <c r="A373" s="1">
        <v>45312</v>
      </c>
      <c r="B373">
        <v>14628</v>
      </c>
      <c r="C373" t="s">
        <v>508</v>
      </c>
      <c r="D373">
        <v>24</v>
      </c>
      <c r="E373">
        <v>9.8357027814547795</v>
      </c>
      <c r="I373"/>
      <c r="J373"/>
      <c r="K373">
        <f>INDEX(Tabelle2!E:E,SUMPRODUCT((Tabelle2!$A$1:$A$1716=B373)*(Tabelle2!$C$1:$C$1716&lt;=A373)*(Tabelle2!$D$1:$D$1716&gt;=A373)*ROW(Tabelle2!$1:$1716)))</f>
        <v>244009</v>
      </c>
      <c r="L373">
        <f t="shared" si="5"/>
        <v>9.8357027814547813</v>
      </c>
    </row>
    <row r="374" spans="1:12" x14ac:dyDescent="0.25">
      <c r="A374" s="1">
        <v>45312</v>
      </c>
      <c r="B374">
        <v>14713</v>
      </c>
      <c r="C374" t="s">
        <v>392</v>
      </c>
      <c r="D374">
        <v>87</v>
      </c>
      <c r="E374">
        <v>14.455044810638899</v>
      </c>
      <c r="I374"/>
      <c r="J374"/>
      <c r="K374">
        <f>INDEX(Tabelle2!E:E,SUMPRODUCT((Tabelle2!$A$1:$A$1716=B374)*(Tabelle2!$C$1:$C$1716&lt;=A374)*(Tabelle2!$D$1:$D$1716&gt;=A374)*ROW(Tabelle2!$1:$1716)))</f>
        <v>601866</v>
      </c>
      <c r="L374">
        <f t="shared" si="5"/>
        <v>14.455044810638915</v>
      </c>
    </row>
    <row r="375" spans="1:12" x14ac:dyDescent="0.25">
      <c r="A375" s="1">
        <v>45312</v>
      </c>
      <c r="B375">
        <v>14729</v>
      </c>
      <c r="C375" t="s">
        <v>393</v>
      </c>
      <c r="D375">
        <v>22</v>
      </c>
      <c r="E375">
        <v>8.5200647524921092</v>
      </c>
      <c r="I375"/>
      <c r="J375"/>
      <c r="K375">
        <f>INDEX(Tabelle2!E:E,SUMPRODUCT((Tabelle2!$A$1:$A$1716=B375)*(Tabelle2!$C$1:$C$1716&lt;=A375)*(Tabelle2!$D$1:$D$1716&gt;=A375)*ROW(Tabelle2!$1:$1716)))</f>
        <v>258214</v>
      </c>
      <c r="L375">
        <f t="shared" si="5"/>
        <v>8.520064752492118</v>
      </c>
    </row>
    <row r="376" spans="1:12" x14ac:dyDescent="0.25">
      <c r="A376" s="1">
        <v>45312</v>
      </c>
      <c r="B376">
        <v>14730</v>
      </c>
      <c r="C376" t="s">
        <v>394</v>
      </c>
      <c r="D376">
        <v>24</v>
      </c>
      <c r="E376">
        <v>12.1501146667071</v>
      </c>
      <c r="I376"/>
      <c r="J376"/>
      <c r="K376">
        <f>INDEX(Tabelle2!E:E,SUMPRODUCT((Tabelle2!$A$1:$A$1716=B376)*(Tabelle2!$C$1:$C$1716&lt;=A376)*(Tabelle2!$D$1:$D$1716&gt;=A376)*ROW(Tabelle2!$1:$1716)))</f>
        <v>197529</v>
      </c>
      <c r="L376">
        <f t="shared" si="5"/>
        <v>12.150114666707168</v>
      </c>
    </row>
    <row r="377" spans="1:12" x14ac:dyDescent="0.25">
      <c r="A377" s="1">
        <v>45312</v>
      </c>
      <c r="B377">
        <v>15001</v>
      </c>
      <c r="C377" t="s">
        <v>509</v>
      </c>
      <c r="D377">
        <v>9</v>
      </c>
      <c r="E377">
        <v>11.431329463616599</v>
      </c>
      <c r="I377"/>
      <c r="J377"/>
      <c r="K377">
        <f>INDEX(Tabelle2!E:E,SUMPRODUCT((Tabelle2!$A$1:$A$1716=B377)*(Tabelle2!$C$1:$C$1716&lt;=A377)*(Tabelle2!$D$1:$D$1716&gt;=A377)*ROW(Tabelle2!$1:$1716)))</f>
        <v>78731</v>
      </c>
      <c r="L377">
        <f t="shared" si="5"/>
        <v>11.431329463616619</v>
      </c>
    </row>
    <row r="378" spans="1:12" x14ac:dyDescent="0.25">
      <c r="A378" s="1">
        <v>45312</v>
      </c>
      <c r="B378">
        <v>15002</v>
      </c>
      <c r="C378" t="s">
        <v>397</v>
      </c>
      <c r="D378">
        <v>35</v>
      </c>
      <c r="E378">
        <v>14.702114164016701</v>
      </c>
      <c r="I378"/>
      <c r="J378"/>
      <c r="K378">
        <f>INDEX(Tabelle2!E:E,SUMPRODUCT((Tabelle2!$A$1:$A$1716=B378)*(Tabelle2!$C$1:$C$1716&lt;=A378)*(Tabelle2!$D$1:$D$1716&gt;=A378)*ROW(Tabelle2!$1:$1716)))</f>
        <v>238061</v>
      </c>
      <c r="L378">
        <f t="shared" si="5"/>
        <v>14.702114164016786</v>
      </c>
    </row>
    <row r="379" spans="1:12" x14ac:dyDescent="0.25">
      <c r="A379" s="1">
        <v>45312</v>
      </c>
      <c r="B379">
        <v>15003</v>
      </c>
      <c r="C379" t="s">
        <v>398</v>
      </c>
      <c r="D379">
        <v>29</v>
      </c>
      <c r="E379">
        <v>12.2783545311362</v>
      </c>
      <c r="I379"/>
      <c r="J379"/>
      <c r="K379">
        <f>INDEX(Tabelle2!E:E,SUMPRODUCT((Tabelle2!$A$1:$A$1716=B379)*(Tabelle2!$C$1:$C$1716&lt;=A379)*(Tabelle2!$D$1:$D$1716&gt;=A379)*ROW(Tabelle2!$1:$1716)))</f>
        <v>236188</v>
      </c>
      <c r="L379">
        <f t="shared" si="5"/>
        <v>12.278354531136213</v>
      </c>
    </row>
    <row r="380" spans="1:12" x14ac:dyDescent="0.25">
      <c r="A380" s="1">
        <v>45312</v>
      </c>
      <c r="B380">
        <v>15081</v>
      </c>
      <c r="C380" t="s">
        <v>399</v>
      </c>
      <c r="D380">
        <v>4</v>
      </c>
      <c r="E380">
        <v>4.8788817603005397</v>
      </c>
      <c r="I380"/>
      <c r="J380"/>
      <c r="K380">
        <f>INDEX(Tabelle2!E:E,SUMPRODUCT((Tabelle2!$A$1:$A$1716=B380)*(Tabelle2!$C$1:$C$1716&lt;=A380)*(Tabelle2!$D$1:$D$1716&gt;=A380)*ROW(Tabelle2!$1:$1716)))</f>
        <v>81986</v>
      </c>
      <c r="L380">
        <f t="shared" si="5"/>
        <v>4.8788817603005397</v>
      </c>
    </row>
    <row r="381" spans="1:12" x14ac:dyDescent="0.25">
      <c r="A381" s="1">
        <v>45312</v>
      </c>
      <c r="B381">
        <v>15082</v>
      </c>
      <c r="C381" t="s">
        <v>400</v>
      </c>
      <c r="D381">
        <v>15</v>
      </c>
      <c r="E381">
        <v>9.6215522771006992</v>
      </c>
      <c r="I381"/>
      <c r="J381"/>
      <c r="K381">
        <f>INDEX(Tabelle2!E:E,SUMPRODUCT((Tabelle2!$A$1:$A$1716=B381)*(Tabelle2!$C$1:$C$1716&lt;=A381)*(Tabelle2!$D$1:$D$1716&gt;=A381)*ROW(Tabelle2!$1:$1716)))</f>
        <v>155900</v>
      </c>
      <c r="L381">
        <f t="shared" si="5"/>
        <v>9.6215522771007045</v>
      </c>
    </row>
    <row r="382" spans="1:12" x14ac:dyDescent="0.25">
      <c r="A382" s="1">
        <v>45312</v>
      </c>
      <c r="B382">
        <v>15083</v>
      </c>
      <c r="C382" t="s">
        <v>510</v>
      </c>
      <c r="D382">
        <v>20</v>
      </c>
      <c r="E382">
        <v>11.7573748133516</v>
      </c>
      <c r="I382"/>
      <c r="J382"/>
      <c r="K382">
        <f>INDEX(Tabelle2!E:E,SUMPRODUCT((Tabelle2!$A$1:$A$1716=B382)*(Tabelle2!$C$1:$C$1716&lt;=A382)*(Tabelle2!$D$1:$D$1716&gt;=A382)*ROW(Tabelle2!$1:$1716)))</f>
        <v>170106</v>
      </c>
      <c r="L382">
        <f t="shared" si="5"/>
        <v>11.757374813351674</v>
      </c>
    </row>
    <row r="383" spans="1:12" x14ac:dyDescent="0.25">
      <c r="A383" s="1">
        <v>45312</v>
      </c>
      <c r="B383">
        <v>15084</v>
      </c>
      <c r="C383" t="s">
        <v>402</v>
      </c>
      <c r="D383">
        <v>17</v>
      </c>
      <c r="E383">
        <v>9.6408499827031804</v>
      </c>
      <c r="I383"/>
      <c r="J383"/>
      <c r="K383">
        <f>INDEX(Tabelle2!E:E,SUMPRODUCT((Tabelle2!$A$1:$A$1716=B383)*(Tabelle2!$C$1:$C$1716&lt;=A383)*(Tabelle2!$D$1:$D$1716&gt;=A383)*ROW(Tabelle2!$1:$1716)))</f>
        <v>176333</v>
      </c>
      <c r="L383">
        <f t="shared" si="5"/>
        <v>9.6408499827031804</v>
      </c>
    </row>
    <row r="384" spans="1:12" x14ac:dyDescent="0.25">
      <c r="A384" s="1">
        <v>45312</v>
      </c>
      <c r="B384">
        <v>15085</v>
      </c>
      <c r="C384" t="s">
        <v>403</v>
      </c>
      <c r="D384">
        <v>8</v>
      </c>
      <c r="E384">
        <v>3.8256095869776199</v>
      </c>
      <c r="I384"/>
      <c r="J384"/>
      <c r="K384">
        <f>INDEX(Tabelle2!E:E,SUMPRODUCT((Tabelle2!$A$1:$A$1716=B384)*(Tabelle2!$C$1:$C$1716&lt;=A384)*(Tabelle2!$D$1:$D$1716&gt;=A384)*ROW(Tabelle2!$1:$1716)))</f>
        <v>209117</v>
      </c>
      <c r="L384">
        <f t="shared" si="5"/>
        <v>3.8256095869776252</v>
      </c>
    </row>
    <row r="385" spans="1:12" x14ac:dyDescent="0.25">
      <c r="A385" s="1">
        <v>45312</v>
      </c>
      <c r="B385">
        <v>15086</v>
      </c>
      <c r="C385" t="s">
        <v>404</v>
      </c>
      <c r="D385">
        <v>16</v>
      </c>
      <c r="E385">
        <v>17.953724275679399</v>
      </c>
      <c r="I385"/>
      <c r="J385"/>
      <c r="K385">
        <f>INDEX(Tabelle2!E:E,SUMPRODUCT((Tabelle2!$A$1:$A$1716=B385)*(Tabelle2!$C$1:$C$1716&lt;=A385)*(Tabelle2!$D$1:$D$1716&gt;=A385)*ROW(Tabelle2!$1:$1716)))</f>
        <v>89118</v>
      </c>
      <c r="L385">
        <f t="shared" si="5"/>
        <v>17.953724275679438</v>
      </c>
    </row>
    <row r="386" spans="1:12" x14ac:dyDescent="0.25">
      <c r="A386" s="1">
        <v>45312</v>
      </c>
      <c r="B386">
        <v>15087</v>
      </c>
      <c r="C386" t="s">
        <v>511</v>
      </c>
      <c r="D386">
        <v>13</v>
      </c>
      <c r="E386">
        <v>9.8248902257457402</v>
      </c>
      <c r="I386"/>
      <c r="J386"/>
      <c r="K386">
        <f>INDEX(Tabelle2!E:E,SUMPRODUCT((Tabelle2!$A$1:$A$1716=B386)*(Tabelle2!$C$1:$C$1716&lt;=A386)*(Tabelle2!$D$1:$D$1716&gt;=A386)*ROW(Tabelle2!$1:$1716)))</f>
        <v>132317</v>
      </c>
      <c r="L386">
        <f t="shared" si="5"/>
        <v>9.8248902257457473</v>
      </c>
    </row>
    <row r="387" spans="1:12" x14ac:dyDescent="0.25">
      <c r="A387" s="1">
        <v>45312</v>
      </c>
      <c r="B387">
        <v>15088</v>
      </c>
      <c r="C387" t="s">
        <v>406</v>
      </c>
      <c r="D387">
        <v>17</v>
      </c>
      <c r="E387">
        <v>9.2990689990919702</v>
      </c>
      <c r="I387"/>
      <c r="J387"/>
      <c r="K387">
        <f>INDEX(Tabelle2!E:E,SUMPRODUCT((Tabelle2!$A$1:$A$1716=B387)*(Tabelle2!$C$1:$C$1716&lt;=A387)*(Tabelle2!$D$1:$D$1716&gt;=A387)*ROW(Tabelle2!$1:$1716)))</f>
        <v>182814</v>
      </c>
      <c r="L387">
        <f t="shared" ref="L387:L412" si="6">D387/K387*100000</f>
        <v>9.2990689990919737</v>
      </c>
    </row>
    <row r="388" spans="1:12" x14ac:dyDescent="0.25">
      <c r="A388" s="1">
        <v>45312</v>
      </c>
      <c r="B388">
        <v>15089</v>
      </c>
      <c r="C388" t="s">
        <v>407</v>
      </c>
      <c r="D388">
        <v>13</v>
      </c>
      <c r="E388">
        <v>7.0082751556645704</v>
      </c>
      <c r="I388"/>
      <c r="J388"/>
      <c r="K388">
        <f>INDEX(Tabelle2!E:E,SUMPRODUCT((Tabelle2!$A$1:$A$1716=B388)*(Tabelle2!$C$1:$C$1716&lt;=A388)*(Tabelle2!$D$1:$D$1716&gt;=A388)*ROW(Tabelle2!$1:$1716)))</f>
        <v>185495</v>
      </c>
      <c r="L388">
        <f t="shared" si="6"/>
        <v>7.008275155664573</v>
      </c>
    </row>
    <row r="389" spans="1:12" x14ac:dyDescent="0.25">
      <c r="A389" s="1">
        <v>45312</v>
      </c>
      <c r="B389">
        <v>15090</v>
      </c>
      <c r="C389" t="s">
        <v>408</v>
      </c>
      <c r="D389">
        <v>5</v>
      </c>
      <c r="E389">
        <v>4.5559747052284303</v>
      </c>
      <c r="I389"/>
      <c r="J389"/>
      <c r="K389">
        <f>INDEX(Tabelle2!E:E,SUMPRODUCT((Tabelle2!$A$1:$A$1716=B389)*(Tabelle2!$C$1:$C$1716&lt;=A389)*(Tabelle2!$D$1:$D$1716&gt;=A389)*ROW(Tabelle2!$1:$1716)))</f>
        <v>109746</v>
      </c>
      <c r="L389">
        <f t="shared" si="6"/>
        <v>4.5559747052284365</v>
      </c>
    </row>
    <row r="390" spans="1:12" x14ac:dyDescent="0.25">
      <c r="A390" s="1">
        <v>45312</v>
      </c>
      <c r="B390">
        <v>15091</v>
      </c>
      <c r="C390" t="s">
        <v>409</v>
      </c>
      <c r="D390">
        <v>17</v>
      </c>
      <c r="E390">
        <v>13.78292700724</v>
      </c>
      <c r="I390"/>
      <c r="J390"/>
      <c r="K390">
        <f>INDEX(Tabelle2!E:E,SUMPRODUCT((Tabelle2!$A$1:$A$1716=B390)*(Tabelle2!$C$1:$C$1716&lt;=A390)*(Tabelle2!$D$1:$D$1716&gt;=A390)*ROW(Tabelle2!$1:$1716)))</f>
        <v>123341</v>
      </c>
      <c r="L390">
        <f t="shared" si="6"/>
        <v>13.78292700724009</v>
      </c>
    </row>
    <row r="391" spans="1:12" x14ac:dyDescent="0.25">
      <c r="A391" s="1">
        <v>45312</v>
      </c>
      <c r="B391">
        <v>16051</v>
      </c>
      <c r="C391" t="s">
        <v>411</v>
      </c>
      <c r="D391">
        <v>24</v>
      </c>
      <c r="E391">
        <v>11.2556102182181</v>
      </c>
      <c r="I391"/>
      <c r="J391"/>
      <c r="K391">
        <f>INDEX(Tabelle2!E:E,SUMPRODUCT((Tabelle2!$A$1:$A$1716=B391)*(Tabelle2!$C$1:$C$1716&lt;=A391)*(Tabelle2!$D$1:$D$1716&gt;=A391)*ROW(Tabelle2!$1:$1716)))</f>
        <v>213227</v>
      </c>
      <c r="L391">
        <f t="shared" si="6"/>
        <v>11.255610218218143</v>
      </c>
    </row>
    <row r="392" spans="1:12" x14ac:dyDescent="0.25">
      <c r="A392" s="1">
        <v>45312</v>
      </c>
      <c r="B392">
        <v>16052</v>
      </c>
      <c r="C392" t="s">
        <v>412</v>
      </c>
      <c r="D392">
        <v>11</v>
      </c>
      <c r="E392">
        <v>12.039225987216501</v>
      </c>
      <c r="I392"/>
      <c r="J392"/>
      <c r="K392">
        <f>INDEX(Tabelle2!E:E,SUMPRODUCT((Tabelle2!$A$1:$A$1716=B392)*(Tabelle2!$C$1:$C$1716&lt;=A392)*(Tabelle2!$D$1:$D$1716&gt;=A392)*ROW(Tabelle2!$1:$1716)))</f>
        <v>91368</v>
      </c>
      <c r="L392">
        <f t="shared" si="6"/>
        <v>12.039225987216531</v>
      </c>
    </row>
    <row r="393" spans="1:12" x14ac:dyDescent="0.25">
      <c r="A393" s="1">
        <v>45312</v>
      </c>
      <c r="B393">
        <v>16053</v>
      </c>
      <c r="C393" t="s">
        <v>413</v>
      </c>
      <c r="D393">
        <v>26</v>
      </c>
      <c r="E393">
        <v>23.5289859007076</v>
      </c>
      <c r="I393"/>
      <c r="J393"/>
      <c r="K393">
        <f>INDEX(Tabelle2!E:E,SUMPRODUCT((Tabelle2!$A$1:$A$1716=B393)*(Tabelle2!$C$1:$C$1716&lt;=A393)*(Tabelle2!$D$1:$D$1716&gt;=A393)*ROW(Tabelle2!$1:$1716)))</f>
        <v>110502</v>
      </c>
      <c r="L393">
        <f t="shared" si="6"/>
        <v>23.528985900707681</v>
      </c>
    </row>
    <row r="394" spans="1:12" x14ac:dyDescent="0.25">
      <c r="A394" s="1">
        <v>45312</v>
      </c>
      <c r="B394">
        <v>16054</v>
      </c>
      <c r="C394" t="s">
        <v>414</v>
      </c>
      <c r="D394">
        <v>3</v>
      </c>
      <c r="E394">
        <v>8.3208520552504499</v>
      </c>
      <c r="I394"/>
      <c r="J394"/>
      <c r="K394">
        <f>INDEX(Tabelle2!E:E,SUMPRODUCT((Tabelle2!$A$1:$A$1716=B394)*(Tabelle2!$C$1:$C$1716&lt;=A394)*(Tabelle2!$D$1:$D$1716&gt;=A394)*ROW(Tabelle2!$1:$1716)))</f>
        <v>36054</v>
      </c>
      <c r="L394">
        <f t="shared" si="6"/>
        <v>8.320852055250457</v>
      </c>
    </row>
    <row r="395" spans="1:12" x14ac:dyDescent="0.25">
      <c r="A395" s="1">
        <v>45312</v>
      </c>
      <c r="B395">
        <v>16055</v>
      </c>
      <c r="C395" t="s">
        <v>415</v>
      </c>
      <c r="D395">
        <v>1</v>
      </c>
      <c r="E395">
        <v>1.5352021861279099</v>
      </c>
      <c r="I395"/>
      <c r="J395"/>
      <c r="K395">
        <f>INDEX(Tabelle2!E:E,SUMPRODUCT((Tabelle2!$A$1:$A$1716=B395)*(Tabelle2!$C$1:$C$1716&lt;=A395)*(Tabelle2!$D$1:$D$1716&gt;=A395)*ROW(Tabelle2!$1:$1716)))</f>
        <v>65138</v>
      </c>
      <c r="L395">
        <f t="shared" si="6"/>
        <v>1.5352021861279128</v>
      </c>
    </row>
    <row r="396" spans="1:12" x14ac:dyDescent="0.25">
      <c r="A396" s="1">
        <v>45312</v>
      </c>
      <c r="B396">
        <v>16061</v>
      </c>
      <c r="C396" t="s">
        <v>421</v>
      </c>
      <c r="D396">
        <v>5</v>
      </c>
      <c r="E396">
        <v>5.0340300430912901</v>
      </c>
      <c r="I396"/>
      <c r="J396"/>
      <c r="K396">
        <f>INDEX(Tabelle2!E:E,SUMPRODUCT((Tabelle2!$A$1:$A$1716=B396)*(Tabelle2!$C$1:$C$1716&lt;=A396)*(Tabelle2!$D$1:$D$1716&gt;=A396)*ROW(Tabelle2!$1:$1716)))</f>
        <v>99324</v>
      </c>
      <c r="L396">
        <f t="shared" si="6"/>
        <v>5.0340300430912972</v>
      </c>
    </row>
    <row r="397" spans="1:12" x14ac:dyDescent="0.25">
      <c r="A397" s="1">
        <v>45312</v>
      </c>
      <c r="B397">
        <v>16062</v>
      </c>
      <c r="C397" t="s">
        <v>422</v>
      </c>
      <c r="D397">
        <v>13</v>
      </c>
      <c r="E397">
        <v>15.914404984881299</v>
      </c>
      <c r="I397"/>
      <c r="J397"/>
      <c r="K397">
        <f>INDEX(Tabelle2!E:E,SUMPRODUCT((Tabelle2!$A$1:$A$1716=B397)*(Tabelle2!$C$1:$C$1716&lt;=A397)*(Tabelle2!$D$1:$D$1716&gt;=A397)*ROW(Tabelle2!$1:$1716)))</f>
        <v>81687</v>
      </c>
      <c r="L397">
        <f t="shared" si="6"/>
        <v>15.914404984881315</v>
      </c>
    </row>
    <row r="398" spans="1:12" x14ac:dyDescent="0.25">
      <c r="A398" s="1">
        <v>45312</v>
      </c>
      <c r="B398">
        <v>16063</v>
      </c>
      <c r="C398" t="s">
        <v>423</v>
      </c>
      <c r="D398">
        <v>16</v>
      </c>
      <c r="E398">
        <v>10.069225928256699</v>
      </c>
      <c r="I398"/>
      <c r="J398"/>
      <c r="K398">
        <f>INDEX(Tabelle2!E:E,SUMPRODUCT((Tabelle2!$A$1:$A$1716=B398)*(Tabelle2!$C$1:$C$1716&lt;=A398)*(Tabelle2!$D$1:$D$1716&gt;=A398)*ROW(Tabelle2!$1:$1716)))</f>
        <v>158900</v>
      </c>
      <c r="L398">
        <f t="shared" si="6"/>
        <v>10.069225928256765</v>
      </c>
    </row>
    <row r="399" spans="1:12" x14ac:dyDescent="0.25">
      <c r="A399" s="1">
        <v>45312</v>
      </c>
      <c r="B399">
        <v>16064</v>
      </c>
      <c r="C399" t="s">
        <v>424</v>
      </c>
      <c r="D399">
        <v>2</v>
      </c>
      <c r="E399">
        <v>1.97493803631911</v>
      </c>
      <c r="I399"/>
      <c r="J399"/>
      <c r="K399">
        <f>INDEX(Tabelle2!E:E,SUMPRODUCT((Tabelle2!$A$1:$A$1716=B399)*(Tabelle2!$C$1:$C$1716&lt;=A399)*(Tabelle2!$D$1:$D$1716&gt;=A399)*ROW(Tabelle2!$1:$1716)))</f>
        <v>101269</v>
      </c>
      <c r="L399">
        <f t="shared" si="6"/>
        <v>1.9749380363191105</v>
      </c>
    </row>
    <row r="400" spans="1:12" x14ac:dyDescent="0.25">
      <c r="A400" s="1">
        <v>45312</v>
      </c>
      <c r="B400">
        <v>16065</v>
      </c>
      <c r="C400" t="s">
        <v>512</v>
      </c>
      <c r="D400">
        <v>7</v>
      </c>
      <c r="E400">
        <v>9.5937722712570501</v>
      </c>
      <c r="I400"/>
      <c r="J400"/>
      <c r="K400">
        <f>INDEX(Tabelle2!E:E,SUMPRODUCT((Tabelle2!$A$1:$A$1716=B400)*(Tabelle2!$C$1:$C$1716&lt;=A400)*(Tabelle2!$D$1:$D$1716&gt;=A400)*ROW(Tabelle2!$1:$1716)))</f>
        <v>72964</v>
      </c>
      <c r="L400">
        <f t="shared" si="6"/>
        <v>9.593772271257059</v>
      </c>
    </row>
    <row r="401" spans="1:27" x14ac:dyDescent="0.25">
      <c r="A401" s="1">
        <v>45312</v>
      </c>
      <c r="B401">
        <v>16066</v>
      </c>
      <c r="C401" t="s">
        <v>426</v>
      </c>
      <c r="D401">
        <v>13</v>
      </c>
      <c r="E401">
        <v>10.534504554147301</v>
      </c>
      <c r="I401"/>
      <c r="J401"/>
      <c r="K401">
        <f>INDEX(Tabelle2!E:E,SUMPRODUCT((Tabelle2!$A$1:$A$1716=B401)*(Tabelle2!$C$1:$C$1716&lt;=A401)*(Tabelle2!$D$1:$D$1716&gt;=A401)*ROW(Tabelle2!$1:$1716)))</f>
        <v>123404</v>
      </c>
      <c r="L401">
        <f t="shared" si="6"/>
        <v>10.534504554147354</v>
      </c>
    </row>
    <row r="402" spans="1:27" x14ac:dyDescent="0.25">
      <c r="A402" s="1">
        <v>45312</v>
      </c>
      <c r="B402">
        <v>16067</v>
      </c>
      <c r="C402" t="s">
        <v>427</v>
      </c>
      <c r="D402">
        <v>10</v>
      </c>
      <c r="E402">
        <v>7.4724453577433199</v>
      </c>
      <c r="I402"/>
      <c r="J402"/>
      <c r="K402">
        <f>INDEX(Tabelle2!E:E,SUMPRODUCT((Tabelle2!$A$1:$A$1716=B402)*(Tabelle2!$C$1:$C$1716&lt;=A402)*(Tabelle2!$D$1:$D$1716&gt;=A402)*ROW(Tabelle2!$1:$1716)))</f>
        <v>133825</v>
      </c>
      <c r="L402">
        <f t="shared" si="6"/>
        <v>7.4724453577433216</v>
      </c>
    </row>
    <row r="403" spans="1:27" x14ac:dyDescent="0.25">
      <c r="A403" s="1">
        <v>45312</v>
      </c>
      <c r="B403">
        <v>16068</v>
      </c>
      <c r="C403" t="s">
        <v>513</v>
      </c>
      <c r="D403">
        <v>3</v>
      </c>
      <c r="E403">
        <v>4.36573191495554</v>
      </c>
      <c r="I403"/>
      <c r="J403"/>
      <c r="K403">
        <f>INDEX(Tabelle2!E:E,SUMPRODUCT((Tabelle2!$A$1:$A$1716=B403)*(Tabelle2!$C$1:$C$1716&lt;=A403)*(Tabelle2!$D$1:$D$1716&gt;=A403)*ROW(Tabelle2!$1:$1716)))</f>
        <v>68717</v>
      </c>
      <c r="L403">
        <f t="shared" si="6"/>
        <v>4.3657319149555418</v>
      </c>
    </row>
    <row r="404" spans="1:27" x14ac:dyDescent="0.25">
      <c r="A404" s="1">
        <v>45312</v>
      </c>
      <c r="B404">
        <v>16069</v>
      </c>
      <c r="C404" t="s">
        <v>429</v>
      </c>
      <c r="D404">
        <v>4</v>
      </c>
      <c r="E404">
        <v>6.4423649921886303</v>
      </c>
      <c r="I404"/>
      <c r="J404"/>
      <c r="K404">
        <f>INDEX(Tabelle2!E:E,SUMPRODUCT((Tabelle2!$A$1:$A$1716=B404)*(Tabelle2!$C$1:$C$1716&lt;=A404)*(Tabelle2!$D$1:$D$1716&gt;=A404)*ROW(Tabelle2!$1:$1716)))</f>
        <v>62089</v>
      </c>
      <c r="L404">
        <f t="shared" si="6"/>
        <v>6.4423649921886321</v>
      </c>
    </row>
    <row r="405" spans="1:27" x14ac:dyDescent="0.25">
      <c r="A405" s="1">
        <v>45312</v>
      </c>
      <c r="B405">
        <v>16070</v>
      </c>
      <c r="C405" t="s">
        <v>430</v>
      </c>
      <c r="D405">
        <v>9</v>
      </c>
      <c r="E405">
        <v>8.5415737375079495</v>
      </c>
      <c r="I405"/>
      <c r="J405"/>
      <c r="K405">
        <f>INDEX(Tabelle2!E:E,SUMPRODUCT((Tabelle2!$A$1:$A$1716=B405)*(Tabelle2!$C$1:$C$1716&lt;=A405)*(Tabelle2!$D$1:$D$1716&gt;=A405)*ROW(Tabelle2!$1:$1716)))</f>
        <v>105367</v>
      </c>
      <c r="L405">
        <f t="shared" si="6"/>
        <v>8.5415737375079495</v>
      </c>
    </row>
    <row r="406" spans="1:27" x14ac:dyDescent="0.25">
      <c r="A406" s="1">
        <v>45312</v>
      </c>
      <c r="B406">
        <v>16071</v>
      </c>
      <c r="C406" t="s">
        <v>431</v>
      </c>
      <c r="D406">
        <v>8</v>
      </c>
      <c r="E406">
        <v>9.7438583242999606</v>
      </c>
      <c r="I406"/>
      <c r="J406"/>
      <c r="K406">
        <f>INDEX(Tabelle2!E:E,SUMPRODUCT((Tabelle2!$A$1:$A$1716=B406)*(Tabelle2!$C$1:$C$1716&lt;=A406)*(Tabelle2!$D$1:$D$1716&gt;=A406)*ROW(Tabelle2!$1:$1716)))</f>
        <v>82103</v>
      </c>
      <c r="L406">
        <f t="shared" si="6"/>
        <v>9.7438583242999641</v>
      </c>
    </row>
    <row r="407" spans="1:27" x14ac:dyDescent="0.25">
      <c r="A407" s="1">
        <v>45312</v>
      </c>
      <c r="B407">
        <v>16072</v>
      </c>
      <c r="C407" t="s">
        <v>432</v>
      </c>
      <c r="D407">
        <v>5</v>
      </c>
      <c r="E407">
        <v>8.8489310491292592</v>
      </c>
      <c r="I407"/>
      <c r="J407"/>
      <c r="K407">
        <f>INDEX(Tabelle2!E:E,SUMPRODUCT((Tabelle2!$A$1:$A$1716=B407)*(Tabelle2!$C$1:$C$1716&lt;=A407)*(Tabelle2!$D$1:$D$1716&gt;=A407)*ROW(Tabelle2!$1:$1716)))</f>
        <v>56504</v>
      </c>
      <c r="L407">
        <f t="shared" si="6"/>
        <v>8.8489310491292663</v>
      </c>
    </row>
    <row r="408" spans="1:27" x14ac:dyDescent="0.25">
      <c r="A408" s="1">
        <v>45312</v>
      </c>
      <c r="B408">
        <v>16073</v>
      </c>
      <c r="C408" t="s">
        <v>433</v>
      </c>
      <c r="D408">
        <v>13</v>
      </c>
      <c r="E408">
        <v>12.8752389347225</v>
      </c>
      <c r="I408"/>
      <c r="J408"/>
      <c r="K408">
        <f>INDEX(Tabelle2!E:E,SUMPRODUCT((Tabelle2!$A$1:$A$1716=B408)*(Tabelle2!$C$1:$C$1716&lt;=A408)*(Tabelle2!$D$1:$D$1716&gt;=A408)*ROW(Tabelle2!$1:$1716)))</f>
        <v>100969</v>
      </c>
      <c r="L408">
        <f t="shared" si="6"/>
        <v>12.875238934722537</v>
      </c>
    </row>
    <row r="409" spans="1:27" x14ac:dyDescent="0.25">
      <c r="A409" s="1">
        <v>45312</v>
      </c>
      <c r="B409">
        <v>16074</v>
      </c>
      <c r="C409" t="s">
        <v>434</v>
      </c>
      <c r="D409">
        <v>6</v>
      </c>
      <c r="E409">
        <v>7.2715814477718599</v>
      </c>
      <c r="I409"/>
      <c r="J409"/>
      <c r="K409">
        <f>INDEX(Tabelle2!E:E,SUMPRODUCT((Tabelle2!$A$1:$A$1716=B409)*(Tabelle2!$C$1:$C$1716&lt;=A409)*(Tabelle2!$D$1:$D$1716&gt;=A409)*ROW(Tabelle2!$1:$1716)))</f>
        <v>82513</v>
      </c>
      <c r="L409">
        <f t="shared" si="6"/>
        <v>7.2715814477718661</v>
      </c>
    </row>
    <row r="410" spans="1:27" x14ac:dyDescent="0.25">
      <c r="A410" s="1">
        <v>45312</v>
      </c>
      <c r="B410">
        <v>16075</v>
      </c>
      <c r="C410" t="s">
        <v>435</v>
      </c>
      <c r="D410">
        <v>6</v>
      </c>
      <c r="E410">
        <v>7.5920536505124598</v>
      </c>
      <c r="I410"/>
      <c r="J410"/>
      <c r="K410">
        <f>INDEX(Tabelle2!E:E,SUMPRODUCT((Tabelle2!$A$1:$A$1716=B410)*(Tabelle2!$C$1:$C$1716&lt;=A410)*(Tabelle2!$D$1:$D$1716&gt;=A410)*ROW(Tabelle2!$1:$1716)))</f>
        <v>79030</v>
      </c>
      <c r="L410">
        <f t="shared" si="6"/>
        <v>7.5920536505124634</v>
      </c>
    </row>
    <row r="411" spans="1:27" x14ac:dyDescent="0.25">
      <c r="A411" s="1">
        <v>45312</v>
      </c>
      <c r="B411">
        <v>16076</v>
      </c>
      <c r="C411" t="s">
        <v>436</v>
      </c>
      <c r="D411">
        <v>8</v>
      </c>
      <c r="E411">
        <v>8.32448856423383</v>
      </c>
      <c r="I411"/>
      <c r="J411"/>
      <c r="K411">
        <f>INDEX(Tabelle2!E:E,SUMPRODUCT((Tabelle2!$A$1:$A$1716=B411)*(Tabelle2!$C$1:$C$1716&lt;=A411)*(Tabelle2!$D$1:$D$1716&gt;=A411)*ROW(Tabelle2!$1:$1716)))</f>
        <v>96102</v>
      </c>
      <c r="L411">
        <f t="shared" si="6"/>
        <v>8.3244885642338353</v>
      </c>
    </row>
    <row r="412" spans="1:27" x14ac:dyDescent="0.25">
      <c r="A412" s="1">
        <v>45312</v>
      </c>
      <c r="B412">
        <v>16077</v>
      </c>
      <c r="C412" t="s">
        <v>437</v>
      </c>
      <c r="D412">
        <v>5</v>
      </c>
      <c r="E412">
        <v>5.69430683202933</v>
      </c>
      <c r="I412"/>
      <c r="J412"/>
      <c r="K412">
        <f>INDEX(Tabelle2!E:E,SUMPRODUCT((Tabelle2!$A$1:$A$1716=B412)*(Tabelle2!$C$1:$C$1716&lt;=A412)*(Tabelle2!$D$1:$D$1716&gt;=A412)*ROW(Tabelle2!$1:$1716)))</f>
        <v>87807</v>
      </c>
      <c r="L412">
        <f t="shared" si="6"/>
        <v>5.6943068320293371</v>
      </c>
    </row>
    <row r="413" spans="1:27" x14ac:dyDescent="0.25">
      <c r="A413"/>
      <c r="C413"/>
      <c r="I413"/>
      <c r="J413"/>
      <c r="K413">
        <f>INDEX(Tabelle2!E:E,SUMPRODUCT((Tabelle2!$A$1:$A$1716=B413)*(Tabelle2!$C$1:$C$1716&lt;=A413)*(Tabelle2!$D$1:$D$1716&gt;=A413)*ROW(Tabelle2!$1:$1716)))</f>
        <v>278176</v>
      </c>
      <c r="L413">
        <f>D413/K413*100000</f>
        <v>0</v>
      </c>
      <c r="M413" s="2"/>
      <c r="O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4"/>
    </row>
    <row r="414" spans="1:27" x14ac:dyDescent="0.25">
      <c r="A414" s="1">
        <v>45312</v>
      </c>
      <c r="B414">
        <v>0</v>
      </c>
      <c r="D414">
        <f>SUM(D2:D413)</f>
        <v>6239</v>
      </c>
      <c r="E414">
        <f t="shared" ref="E414:G414" si="7">SUM(E2:E413)</f>
        <v>3221.8474887143147</v>
      </c>
      <c r="F414">
        <f t="shared" si="7"/>
        <v>0</v>
      </c>
      <c r="G414">
        <f t="shared" si="7"/>
        <v>0</v>
      </c>
      <c r="H414">
        <f>SUM(H2:H413)</f>
        <v>0</v>
      </c>
      <c r="I414">
        <f>SUM(I2:I413)</f>
        <v>0</v>
      </c>
      <c r="K414">
        <f>INDEX(Tabelle2!E:E,SUMPRODUCT((Tabelle2!$A$1:$A$1716=B414)*(Tabelle2!$C$1:$C$1716&lt;=A414)*(Tabelle2!$D$1:$D$1716&gt;=A414)*ROW(Tabelle2!$1:$1716)))</f>
        <v>83237124</v>
      </c>
      <c r="L414">
        <f t="shared" ref="L414" si="8">D414/K414*100000</f>
        <v>7.4954535911163873</v>
      </c>
      <c r="M414" s="3">
        <f>COUNTIF(L2:L412,"= 0")</f>
        <v>6</v>
      </c>
      <c r="N414" s="3">
        <f>COUNTIFS(L2:L412,"&lt;= 1",L2:L412,"&gt;0")</f>
        <v>0</v>
      </c>
      <c r="O414" s="3">
        <f>COUNTIFS(L2:L412,"&lt;= 15",L2:L412,"&gt;1")</f>
        <v>374</v>
      </c>
      <c r="P414" s="3">
        <f>COUNTIFS(L2:L412,"&lt;= 25",L2:L412,"&gt;15")</f>
        <v>28</v>
      </c>
      <c r="Q414" s="3">
        <f>COUNTIFS(L2:L412,"&lt;= 35",L2:L412,"&gt;25")</f>
        <v>3</v>
      </c>
      <c r="R414" s="3">
        <f>COUNTIFS(L2:L412,"&lt;=50",L2:L412,"&gt;35")</f>
        <v>0</v>
      </c>
      <c r="S414" s="3">
        <f>COUNTIFS(L2:L412,"&lt;=100",L2:L412,"&gt;50")</f>
        <v>0</v>
      </c>
      <c r="T414" s="3">
        <f>COUNTIFS(L2:L412,"&lt;=200",L2:L412,"&gt;100")</f>
        <v>0</v>
      </c>
      <c r="U414" s="3">
        <f>COUNTIFS(L2:L412,"&lt;=350",L2:L412,"&gt;200")</f>
        <v>0</v>
      </c>
      <c r="V414" s="3">
        <f>COUNTIFS(L2:L412,"&lt;=500",L2:L412,"&gt;350")</f>
        <v>0</v>
      </c>
      <c r="W414" s="3">
        <f>COUNTIFS(L2:L412,"&lt;=1000",L2:L412,"&gt;500")</f>
        <v>0</v>
      </c>
      <c r="X414" s="3">
        <f>COUNTIFS(L2:L412,"&lt;=1500",L2:L412,"&gt;1000")</f>
        <v>0</v>
      </c>
      <c r="Y414" s="3">
        <f>COUNTIFS(L2:L412,"&lt;=2500",L2:L412,"&gt;1500")</f>
        <v>0</v>
      </c>
      <c r="Z414" s="3">
        <f>COUNTIFS(L2:L412,"&gt;2500")</f>
        <v>0</v>
      </c>
      <c r="AA414" s="3">
        <f>COUNTA(L2:L412,)-1</f>
        <v>411</v>
      </c>
    </row>
    <row r="415" spans="1:27" x14ac:dyDescent="0.25">
      <c r="A415" s="1">
        <f>DATE(B415,B416,B417)</f>
        <v>45312</v>
      </c>
      <c r="B415">
        <v>2024</v>
      </c>
    </row>
    <row r="416" spans="1:27" x14ac:dyDescent="0.25">
      <c r="B416">
        <v>1</v>
      </c>
    </row>
    <row r="417" spans="2:2" x14ac:dyDescent="0.25">
      <c r="B417">
        <v>21</v>
      </c>
    </row>
  </sheetData>
  <conditionalFormatting sqref="L1:L1048576">
    <cfRule type="top10" dxfId="0" priority="2" rank="3"/>
  </conditionalFormatting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G1716"/>
  <sheetViews>
    <sheetView workbookViewId="0">
      <selection activeCell="B14" sqref="B14"/>
    </sheetView>
  </sheetViews>
  <sheetFormatPr baseColWidth="10" defaultRowHeight="15" x14ac:dyDescent="0.25"/>
  <cols>
    <col min="1" max="1" width="6" style="5" bestFit="1" customWidth="1"/>
    <col min="2" max="2" width="35.140625" bestFit="1" customWidth="1"/>
    <col min="3" max="3" width="10.140625" style="1" customWidth="1"/>
    <col min="4" max="4" width="10.140625" style="1" bestFit="1" customWidth="1"/>
    <col min="5" max="5" width="10.5703125" bestFit="1" customWidth="1"/>
    <col min="6" max="6" width="9.140625" bestFit="1" customWidth="1"/>
    <col min="7" max="7" width="9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514</v>
      </c>
      <c r="G1" t="s">
        <v>515</v>
      </c>
    </row>
    <row r="2" spans="1:7" x14ac:dyDescent="0.25">
      <c r="A2">
        <v>0</v>
      </c>
      <c r="B2" t="s">
        <v>5</v>
      </c>
      <c r="C2" s="1">
        <v>43831</v>
      </c>
      <c r="D2" s="1">
        <v>44111</v>
      </c>
      <c r="E2">
        <v>83122535</v>
      </c>
    </row>
    <row r="3" spans="1:7" x14ac:dyDescent="0.25">
      <c r="A3">
        <v>0</v>
      </c>
      <c r="B3" t="s">
        <v>5</v>
      </c>
      <c r="C3" s="1">
        <v>44112</v>
      </c>
      <c r="D3" s="1">
        <v>44433</v>
      </c>
      <c r="E3">
        <v>83166711</v>
      </c>
    </row>
    <row r="4" spans="1:7" x14ac:dyDescent="0.25">
      <c r="A4">
        <v>0</v>
      </c>
      <c r="B4" t="s">
        <v>5</v>
      </c>
      <c r="C4" s="1">
        <v>44434</v>
      </c>
      <c r="D4" s="1">
        <v>44826</v>
      </c>
      <c r="E4">
        <v>83155031</v>
      </c>
      <c r="F4">
        <v>41026534</v>
      </c>
      <c r="G4">
        <v>42128547</v>
      </c>
    </row>
    <row r="5" spans="1:7" x14ac:dyDescent="0.25">
      <c r="A5">
        <v>0</v>
      </c>
      <c r="B5" t="s">
        <v>5</v>
      </c>
      <c r="C5" s="1">
        <v>44827</v>
      </c>
      <c r="D5" s="1">
        <v>117974</v>
      </c>
      <c r="E5">
        <v>83237124</v>
      </c>
      <c r="F5">
        <v>41066785</v>
      </c>
      <c r="G5">
        <v>42170339</v>
      </c>
    </row>
    <row r="6" spans="1:7" x14ac:dyDescent="0.25">
      <c r="A6">
        <v>1</v>
      </c>
      <c r="B6" t="s">
        <v>6</v>
      </c>
      <c r="C6" s="1">
        <v>43831</v>
      </c>
      <c r="D6" s="1">
        <v>44111</v>
      </c>
      <c r="E6">
        <v>2896712</v>
      </c>
    </row>
    <row r="7" spans="1:7" x14ac:dyDescent="0.25">
      <c r="A7">
        <v>1</v>
      </c>
      <c r="B7" t="s">
        <v>6</v>
      </c>
      <c r="C7" s="1">
        <v>44112</v>
      </c>
      <c r="D7" s="1">
        <v>44433</v>
      </c>
      <c r="E7">
        <v>2903773</v>
      </c>
    </row>
    <row r="8" spans="1:7" x14ac:dyDescent="0.25">
      <c r="A8">
        <v>1</v>
      </c>
      <c r="B8" t="s">
        <v>6</v>
      </c>
      <c r="C8" s="1">
        <v>44434</v>
      </c>
      <c r="D8" s="1">
        <v>44826</v>
      </c>
      <c r="E8">
        <v>2910875</v>
      </c>
      <c r="F8">
        <v>1425649</v>
      </c>
      <c r="G8">
        <v>1485226</v>
      </c>
    </row>
    <row r="9" spans="1:7" x14ac:dyDescent="0.25">
      <c r="A9">
        <v>1</v>
      </c>
      <c r="B9" t="s">
        <v>6</v>
      </c>
      <c r="C9" s="1">
        <v>44827</v>
      </c>
      <c r="D9" s="1">
        <v>117974</v>
      </c>
      <c r="E9">
        <v>2922005</v>
      </c>
      <c r="F9">
        <v>1431064</v>
      </c>
      <c r="G9">
        <v>1490941</v>
      </c>
    </row>
    <row r="10" spans="1:7" x14ac:dyDescent="0.25">
      <c r="A10">
        <v>1001</v>
      </c>
      <c r="B10" t="s">
        <v>7</v>
      </c>
      <c r="C10" s="1">
        <v>43831</v>
      </c>
      <c r="D10" s="1">
        <v>44111</v>
      </c>
      <c r="E10">
        <v>89504</v>
      </c>
    </row>
    <row r="11" spans="1:7" x14ac:dyDescent="0.25">
      <c r="A11">
        <v>1001</v>
      </c>
      <c r="B11" t="s">
        <v>7</v>
      </c>
      <c r="C11" s="1">
        <v>44112</v>
      </c>
      <c r="D11" s="1">
        <v>44433</v>
      </c>
      <c r="E11">
        <v>90164</v>
      </c>
    </row>
    <row r="12" spans="1:7" x14ac:dyDescent="0.25">
      <c r="A12">
        <v>1001</v>
      </c>
      <c r="B12" t="s">
        <v>7</v>
      </c>
      <c r="C12" s="1">
        <v>44434</v>
      </c>
      <c r="D12" s="1">
        <v>44826</v>
      </c>
      <c r="E12">
        <v>89934</v>
      </c>
      <c r="F12">
        <v>44797</v>
      </c>
      <c r="G12">
        <v>45137</v>
      </c>
    </row>
    <row r="13" spans="1:7" x14ac:dyDescent="0.25">
      <c r="A13">
        <v>1001</v>
      </c>
      <c r="B13" t="s">
        <v>7</v>
      </c>
      <c r="C13" s="1">
        <v>44827</v>
      </c>
      <c r="D13" s="1">
        <v>117974</v>
      </c>
      <c r="E13">
        <v>91113</v>
      </c>
      <c r="F13">
        <v>45336</v>
      </c>
      <c r="G13">
        <v>45777</v>
      </c>
    </row>
    <row r="14" spans="1:7" x14ac:dyDescent="0.25">
      <c r="A14">
        <v>1002</v>
      </c>
      <c r="B14" t="s">
        <v>8</v>
      </c>
      <c r="C14" s="1">
        <v>43831</v>
      </c>
      <c r="D14" s="1">
        <v>44111</v>
      </c>
      <c r="E14">
        <v>247548</v>
      </c>
    </row>
    <row r="15" spans="1:7" x14ac:dyDescent="0.25">
      <c r="A15">
        <v>1002</v>
      </c>
      <c r="B15" t="s">
        <v>8</v>
      </c>
      <c r="C15" s="1">
        <v>44112</v>
      </c>
      <c r="D15" s="1">
        <v>44433</v>
      </c>
      <c r="E15">
        <v>246794</v>
      </c>
    </row>
    <row r="16" spans="1:7" x14ac:dyDescent="0.25">
      <c r="A16">
        <v>1002</v>
      </c>
      <c r="B16" t="s">
        <v>8</v>
      </c>
      <c r="C16" s="1">
        <v>44434</v>
      </c>
      <c r="D16" s="1">
        <v>44826</v>
      </c>
      <c r="E16">
        <v>246601</v>
      </c>
      <c r="F16">
        <v>120045</v>
      </c>
      <c r="G16">
        <v>126556</v>
      </c>
    </row>
    <row r="17" spans="1:7" x14ac:dyDescent="0.25">
      <c r="A17">
        <v>1002</v>
      </c>
      <c r="B17" t="s">
        <v>8</v>
      </c>
      <c r="C17" s="1">
        <v>44827</v>
      </c>
      <c r="D17" s="1">
        <v>117974</v>
      </c>
      <c r="E17">
        <v>246243</v>
      </c>
      <c r="F17">
        <v>119860</v>
      </c>
      <c r="G17">
        <v>126383</v>
      </c>
    </row>
    <row r="18" spans="1:7" x14ac:dyDescent="0.25">
      <c r="A18">
        <v>1003</v>
      </c>
      <c r="B18" t="s">
        <v>9</v>
      </c>
      <c r="C18" s="1">
        <v>43831</v>
      </c>
      <c r="D18" s="1">
        <v>44111</v>
      </c>
      <c r="E18">
        <v>217198</v>
      </c>
    </row>
    <row r="19" spans="1:7" x14ac:dyDescent="0.25">
      <c r="A19">
        <v>1003</v>
      </c>
      <c r="B19" t="s">
        <v>9</v>
      </c>
      <c r="C19" s="1">
        <v>44112</v>
      </c>
      <c r="D19" s="1">
        <v>44433</v>
      </c>
      <c r="E19">
        <v>216530</v>
      </c>
    </row>
    <row r="20" spans="1:7" x14ac:dyDescent="0.25">
      <c r="A20">
        <v>1003</v>
      </c>
      <c r="B20" t="s">
        <v>9</v>
      </c>
      <c r="C20" s="1">
        <v>44434</v>
      </c>
      <c r="D20" s="1">
        <v>44826</v>
      </c>
      <c r="E20">
        <v>215846</v>
      </c>
      <c r="F20">
        <v>103623</v>
      </c>
      <c r="G20">
        <v>112223</v>
      </c>
    </row>
    <row r="21" spans="1:7" x14ac:dyDescent="0.25">
      <c r="A21">
        <v>1003</v>
      </c>
      <c r="B21" t="s">
        <v>9</v>
      </c>
      <c r="C21" s="1">
        <v>44827</v>
      </c>
      <c r="D21" s="1">
        <v>117974</v>
      </c>
      <c r="E21">
        <v>216277</v>
      </c>
      <c r="F21">
        <v>104005</v>
      </c>
      <c r="G21">
        <v>112272</v>
      </c>
    </row>
    <row r="22" spans="1:7" x14ac:dyDescent="0.25">
      <c r="A22">
        <v>1004</v>
      </c>
      <c r="B22" t="s">
        <v>10</v>
      </c>
      <c r="C22" s="1">
        <v>43831</v>
      </c>
      <c r="D22" s="1">
        <v>44111</v>
      </c>
      <c r="E22">
        <v>79487</v>
      </c>
    </row>
    <row r="23" spans="1:7" x14ac:dyDescent="0.25">
      <c r="A23">
        <v>1004</v>
      </c>
      <c r="B23" t="s">
        <v>10</v>
      </c>
      <c r="C23" s="1">
        <v>44112</v>
      </c>
      <c r="D23" s="1">
        <v>44433</v>
      </c>
      <c r="E23">
        <v>80196</v>
      </c>
    </row>
    <row r="24" spans="1:7" x14ac:dyDescent="0.25">
      <c r="A24">
        <v>1004</v>
      </c>
      <c r="B24" t="s">
        <v>10</v>
      </c>
      <c r="C24" s="1">
        <v>44434</v>
      </c>
      <c r="D24" s="1">
        <v>44826</v>
      </c>
      <c r="E24">
        <v>79905</v>
      </c>
      <c r="F24">
        <v>39558</v>
      </c>
      <c r="G24">
        <v>40347</v>
      </c>
    </row>
    <row r="25" spans="1:7" x14ac:dyDescent="0.25">
      <c r="A25">
        <v>1004</v>
      </c>
      <c r="B25" t="s">
        <v>10</v>
      </c>
      <c r="C25" s="1">
        <v>44827</v>
      </c>
      <c r="D25" s="1">
        <v>117974</v>
      </c>
      <c r="E25">
        <v>79496</v>
      </c>
      <c r="F25">
        <v>39382</v>
      </c>
      <c r="G25">
        <v>40114</v>
      </c>
    </row>
    <row r="26" spans="1:7" x14ac:dyDescent="0.25">
      <c r="A26">
        <v>1051</v>
      </c>
      <c r="B26" t="s">
        <v>11</v>
      </c>
      <c r="C26" s="1">
        <v>43831</v>
      </c>
      <c r="D26" s="1">
        <v>44111</v>
      </c>
      <c r="E26">
        <v>133210</v>
      </c>
    </row>
    <row r="27" spans="1:7" x14ac:dyDescent="0.25">
      <c r="A27">
        <v>1051</v>
      </c>
      <c r="B27" t="s">
        <v>11</v>
      </c>
      <c r="C27" s="1">
        <v>44112</v>
      </c>
      <c r="D27" s="1">
        <v>44433</v>
      </c>
      <c r="E27">
        <v>133193</v>
      </c>
    </row>
    <row r="28" spans="1:7" x14ac:dyDescent="0.25">
      <c r="A28">
        <v>1051</v>
      </c>
      <c r="B28" t="s">
        <v>11</v>
      </c>
      <c r="C28" s="1">
        <v>44434</v>
      </c>
      <c r="D28" s="1">
        <v>44826</v>
      </c>
      <c r="E28">
        <v>133251</v>
      </c>
      <c r="F28">
        <v>65711</v>
      </c>
      <c r="G28">
        <v>67540</v>
      </c>
    </row>
    <row r="29" spans="1:7" x14ac:dyDescent="0.25">
      <c r="A29">
        <v>1051</v>
      </c>
      <c r="B29" t="s">
        <v>11</v>
      </c>
      <c r="C29" s="1">
        <v>44827</v>
      </c>
      <c r="D29" s="1">
        <v>117974</v>
      </c>
      <c r="E29">
        <v>133969</v>
      </c>
      <c r="F29">
        <v>66046</v>
      </c>
      <c r="G29">
        <v>67923</v>
      </c>
    </row>
    <row r="30" spans="1:7" x14ac:dyDescent="0.25">
      <c r="A30">
        <v>1053</v>
      </c>
      <c r="B30" t="s">
        <v>12</v>
      </c>
      <c r="C30" s="1">
        <v>43831</v>
      </c>
      <c r="D30" s="1">
        <v>44111</v>
      </c>
      <c r="E30">
        <v>197264</v>
      </c>
    </row>
    <row r="31" spans="1:7" x14ac:dyDescent="0.25">
      <c r="A31">
        <v>1053</v>
      </c>
      <c r="B31" t="s">
        <v>12</v>
      </c>
      <c r="C31" s="1">
        <v>44112</v>
      </c>
      <c r="D31" s="1">
        <v>44433</v>
      </c>
      <c r="E31">
        <v>198019</v>
      </c>
    </row>
    <row r="32" spans="1:7" x14ac:dyDescent="0.25">
      <c r="A32">
        <v>1053</v>
      </c>
      <c r="B32" t="s">
        <v>12</v>
      </c>
      <c r="C32" s="1">
        <v>44434</v>
      </c>
      <c r="D32" s="1">
        <v>44826</v>
      </c>
      <c r="E32">
        <v>199152</v>
      </c>
      <c r="F32">
        <v>97730</v>
      </c>
      <c r="G32">
        <v>101422</v>
      </c>
    </row>
    <row r="33" spans="1:7" x14ac:dyDescent="0.25">
      <c r="A33">
        <v>1053</v>
      </c>
      <c r="B33" t="s">
        <v>12</v>
      </c>
      <c r="C33" s="1">
        <v>44827</v>
      </c>
      <c r="D33" s="1">
        <v>117974</v>
      </c>
      <c r="E33">
        <v>200819</v>
      </c>
      <c r="F33">
        <v>98622</v>
      </c>
      <c r="G33">
        <v>102197</v>
      </c>
    </row>
    <row r="34" spans="1:7" x14ac:dyDescent="0.25">
      <c r="A34">
        <v>1054</v>
      </c>
      <c r="B34" t="s">
        <v>13</v>
      </c>
      <c r="C34" s="1">
        <v>43831</v>
      </c>
      <c r="D34" s="1">
        <v>44111</v>
      </c>
      <c r="E34">
        <v>165507</v>
      </c>
    </row>
    <row r="35" spans="1:7" x14ac:dyDescent="0.25">
      <c r="A35">
        <v>1054</v>
      </c>
      <c r="B35" t="s">
        <v>13</v>
      </c>
      <c r="C35" s="1">
        <v>44112</v>
      </c>
      <c r="D35" s="1">
        <v>44433</v>
      </c>
      <c r="E35">
        <v>165951</v>
      </c>
    </row>
    <row r="36" spans="1:7" x14ac:dyDescent="0.25">
      <c r="A36">
        <v>1054</v>
      </c>
      <c r="B36" t="s">
        <v>13</v>
      </c>
      <c r="C36" s="1">
        <v>44434</v>
      </c>
      <c r="D36" s="1">
        <v>44826</v>
      </c>
      <c r="E36">
        <v>167147</v>
      </c>
      <c r="F36">
        <v>81789</v>
      </c>
      <c r="G36">
        <v>85358</v>
      </c>
    </row>
    <row r="37" spans="1:7" x14ac:dyDescent="0.25">
      <c r="A37">
        <v>1054</v>
      </c>
      <c r="B37" t="s">
        <v>13</v>
      </c>
      <c r="C37" s="1">
        <v>44827</v>
      </c>
      <c r="D37" s="1">
        <v>117974</v>
      </c>
      <c r="E37">
        <v>167560</v>
      </c>
      <c r="F37">
        <v>82039</v>
      </c>
      <c r="G37">
        <v>85521</v>
      </c>
    </row>
    <row r="38" spans="1:7" x14ac:dyDescent="0.25">
      <c r="A38">
        <v>1055</v>
      </c>
      <c r="B38" t="s">
        <v>14</v>
      </c>
      <c r="C38" s="1">
        <v>43831</v>
      </c>
      <c r="D38" s="1">
        <v>44111</v>
      </c>
      <c r="E38">
        <v>200581</v>
      </c>
    </row>
    <row r="39" spans="1:7" x14ac:dyDescent="0.25">
      <c r="A39">
        <v>1055</v>
      </c>
      <c r="B39" t="s">
        <v>14</v>
      </c>
      <c r="C39" s="1">
        <v>44112</v>
      </c>
      <c r="D39" s="1">
        <v>44433</v>
      </c>
      <c r="E39">
        <v>200539</v>
      </c>
    </row>
    <row r="40" spans="1:7" x14ac:dyDescent="0.25">
      <c r="A40">
        <v>1055</v>
      </c>
      <c r="B40" t="s">
        <v>14</v>
      </c>
      <c r="C40" s="1">
        <v>44434</v>
      </c>
      <c r="D40" s="1">
        <v>44826</v>
      </c>
      <c r="E40">
        <v>201487</v>
      </c>
      <c r="F40">
        <v>97171</v>
      </c>
      <c r="G40">
        <v>104316</v>
      </c>
    </row>
    <row r="41" spans="1:7" x14ac:dyDescent="0.25">
      <c r="A41">
        <v>1055</v>
      </c>
      <c r="B41" t="s">
        <v>14</v>
      </c>
      <c r="C41" s="1">
        <v>44827</v>
      </c>
      <c r="D41" s="1">
        <v>117974</v>
      </c>
      <c r="E41">
        <v>202014</v>
      </c>
      <c r="F41">
        <v>97423</v>
      </c>
      <c r="G41">
        <v>104591</v>
      </c>
    </row>
    <row r="42" spans="1:7" x14ac:dyDescent="0.25">
      <c r="A42">
        <v>1056</v>
      </c>
      <c r="B42" t="s">
        <v>15</v>
      </c>
      <c r="C42" s="1">
        <v>43831</v>
      </c>
      <c r="D42" s="1">
        <v>44111</v>
      </c>
      <c r="E42">
        <v>314391</v>
      </c>
    </row>
    <row r="43" spans="1:7" x14ac:dyDescent="0.25">
      <c r="A43">
        <v>1056</v>
      </c>
      <c r="B43" t="s">
        <v>15</v>
      </c>
      <c r="C43" s="1">
        <v>44112</v>
      </c>
      <c r="D43" s="1">
        <v>44433</v>
      </c>
      <c r="E43">
        <v>316103</v>
      </c>
    </row>
    <row r="44" spans="1:7" x14ac:dyDescent="0.25">
      <c r="A44">
        <v>1056</v>
      </c>
      <c r="B44" t="s">
        <v>15</v>
      </c>
      <c r="C44" s="1">
        <v>44434</v>
      </c>
      <c r="D44" s="1">
        <v>44826</v>
      </c>
      <c r="E44">
        <v>317085</v>
      </c>
      <c r="F44">
        <v>155554</v>
      </c>
      <c r="G44">
        <v>161531</v>
      </c>
    </row>
    <row r="45" spans="1:7" x14ac:dyDescent="0.25">
      <c r="A45">
        <v>1056</v>
      </c>
      <c r="B45" t="s">
        <v>15</v>
      </c>
      <c r="C45" s="1">
        <v>44827</v>
      </c>
      <c r="D45" s="1">
        <v>117974</v>
      </c>
      <c r="E45">
        <v>318326</v>
      </c>
      <c r="F45">
        <v>156244</v>
      </c>
      <c r="G45">
        <v>162082</v>
      </c>
    </row>
    <row r="46" spans="1:7" x14ac:dyDescent="0.25">
      <c r="A46">
        <v>1057</v>
      </c>
      <c r="B46" t="s">
        <v>16</v>
      </c>
      <c r="C46" s="1">
        <v>43831</v>
      </c>
      <c r="D46" s="1">
        <v>44111</v>
      </c>
      <c r="E46">
        <v>128647</v>
      </c>
    </row>
    <row r="47" spans="1:7" x14ac:dyDescent="0.25">
      <c r="A47">
        <v>1057</v>
      </c>
      <c r="B47" t="s">
        <v>16</v>
      </c>
      <c r="C47" s="1">
        <v>44112</v>
      </c>
      <c r="D47" s="1">
        <v>44433</v>
      </c>
      <c r="E47">
        <v>128686</v>
      </c>
    </row>
    <row r="48" spans="1:7" x14ac:dyDescent="0.25">
      <c r="A48">
        <v>1057</v>
      </c>
      <c r="B48" t="s">
        <v>16</v>
      </c>
      <c r="C48" s="1">
        <v>44434</v>
      </c>
      <c r="D48" s="1">
        <v>44826</v>
      </c>
      <c r="E48">
        <v>129353</v>
      </c>
      <c r="F48">
        <v>62674</v>
      </c>
      <c r="G48">
        <v>66679</v>
      </c>
    </row>
    <row r="49" spans="1:7" x14ac:dyDescent="0.25">
      <c r="A49">
        <v>1057</v>
      </c>
      <c r="B49" t="s">
        <v>16</v>
      </c>
      <c r="C49" s="1">
        <v>44827</v>
      </c>
      <c r="D49" s="1">
        <v>117974</v>
      </c>
      <c r="E49">
        <v>129687</v>
      </c>
      <c r="F49">
        <v>62753</v>
      </c>
      <c r="G49">
        <v>66934</v>
      </c>
    </row>
    <row r="50" spans="1:7" x14ac:dyDescent="0.25">
      <c r="A50">
        <v>1058</v>
      </c>
      <c r="B50" t="s">
        <v>17</v>
      </c>
      <c r="C50" s="1">
        <v>43831</v>
      </c>
      <c r="D50" s="1">
        <v>44111</v>
      </c>
      <c r="E50">
        <v>272775</v>
      </c>
    </row>
    <row r="51" spans="1:7" x14ac:dyDescent="0.25">
      <c r="A51">
        <v>1058</v>
      </c>
      <c r="B51" t="s">
        <v>17</v>
      </c>
      <c r="C51" s="1">
        <v>44112</v>
      </c>
      <c r="D51" s="1">
        <v>44433</v>
      </c>
      <c r="E51">
        <v>274098</v>
      </c>
    </row>
    <row r="52" spans="1:7" x14ac:dyDescent="0.25">
      <c r="A52">
        <v>1058</v>
      </c>
      <c r="B52" t="s">
        <v>17</v>
      </c>
      <c r="C52" s="1">
        <v>44434</v>
      </c>
      <c r="D52" s="1">
        <v>44826</v>
      </c>
      <c r="E52">
        <v>274765</v>
      </c>
      <c r="F52">
        <v>135219</v>
      </c>
      <c r="G52">
        <v>139546</v>
      </c>
    </row>
    <row r="53" spans="1:7" x14ac:dyDescent="0.25">
      <c r="A53">
        <v>1058</v>
      </c>
      <c r="B53" t="s">
        <v>17</v>
      </c>
      <c r="C53" s="1">
        <v>44827</v>
      </c>
      <c r="D53" s="1">
        <v>117974</v>
      </c>
      <c r="E53">
        <v>276053</v>
      </c>
      <c r="F53">
        <v>135883</v>
      </c>
      <c r="G53">
        <v>140170</v>
      </c>
    </row>
    <row r="54" spans="1:7" x14ac:dyDescent="0.25">
      <c r="A54">
        <v>1059</v>
      </c>
      <c r="B54" t="s">
        <v>18</v>
      </c>
      <c r="C54" s="1">
        <v>43831</v>
      </c>
      <c r="D54" s="1">
        <v>44111</v>
      </c>
      <c r="E54">
        <v>200025</v>
      </c>
    </row>
    <row r="55" spans="1:7" x14ac:dyDescent="0.25">
      <c r="A55">
        <v>1059</v>
      </c>
      <c r="B55" t="s">
        <v>18</v>
      </c>
      <c r="C55" s="1">
        <v>44112</v>
      </c>
      <c r="D55" s="1">
        <v>44433</v>
      </c>
      <c r="E55">
        <v>201156</v>
      </c>
    </row>
    <row r="56" spans="1:7" x14ac:dyDescent="0.25">
      <c r="A56">
        <v>1059</v>
      </c>
      <c r="B56" t="s">
        <v>18</v>
      </c>
      <c r="C56" s="1">
        <v>44434</v>
      </c>
      <c r="D56" s="1">
        <v>44826</v>
      </c>
      <c r="E56">
        <v>202647</v>
      </c>
      <c r="F56">
        <v>100209</v>
      </c>
      <c r="G56">
        <v>102438</v>
      </c>
    </row>
    <row r="57" spans="1:7" x14ac:dyDescent="0.25">
      <c r="A57">
        <v>1059</v>
      </c>
      <c r="B57" t="s">
        <v>18</v>
      </c>
      <c r="C57" s="1">
        <v>44827</v>
      </c>
      <c r="D57" s="1">
        <v>117974</v>
      </c>
      <c r="E57">
        <v>203799</v>
      </c>
      <c r="F57">
        <v>100681</v>
      </c>
      <c r="G57">
        <v>103118</v>
      </c>
    </row>
    <row r="58" spans="1:7" x14ac:dyDescent="0.25">
      <c r="A58">
        <v>1060</v>
      </c>
      <c r="B58" t="s">
        <v>19</v>
      </c>
      <c r="C58" s="1">
        <v>43831</v>
      </c>
      <c r="D58" s="1">
        <v>44111</v>
      </c>
      <c r="E58">
        <v>276032</v>
      </c>
    </row>
    <row r="59" spans="1:7" x14ac:dyDescent="0.25">
      <c r="A59">
        <v>1060</v>
      </c>
      <c r="B59" t="s">
        <v>19</v>
      </c>
      <c r="C59" s="1">
        <v>44112</v>
      </c>
      <c r="D59" s="1">
        <v>44433</v>
      </c>
      <c r="E59">
        <v>277175</v>
      </c>
    </row>
    <row r="60" spans="1:7" x14ac:dyDescent="0.25">
      <c r="A60">
        <v>1060</v>
      </c>
      <c r="B60" t="s">
        <v>19</v>
      </c>
      <c r="C60" s="1">
        <v>44434</v>
      </c>
      <c r="D60" s="1">
        <v>44826</v>
      </c>
      <c r="E60">
        <v>278007</v>
      </c>
      <c r="F60">
        <v>137269</v>
      </c>
      <c r="G60">
        <v>140738</v>
      </c>
    </row>
    <row r="61" spans="1:7" x14ac:dyDescent="0.25">
      <c r="A61">
        <v>1060</v>
      </c>
      <c r="B61" t="s">
        <v>19</v>
      </c>
      <c r="C61" s="1">
        <v>44827</v>
      </c>
      <c r="D61" s="1">
        <v>117974</v>
      </c>
      <c r="E61">
        <v>280400</v>
      </c>
      <c r="F61">
        <v>138337</v>
      </c>
      <c r="G61">
        <v>142063</v>
      </c>
    </row>
    <row r="62" spans="1:7" x14ac:dyDescent="0.25">
      <c r="A62">
        <v>1061</v>
      </c>
      <c r="B62" t="s">
        <v>20</v>
      </c>
      <c r="C62" s="1">
        <v>43831</v>
      </c>
      <c r="D62" s="1">
        <v>44111</v>
      </c>
      <c r="E62">
        <v>131347</v>
      </c>
    </row>
    <row r="63" spans="1:7" x14ac:dyDescent="0.25">
      <c r="A63">
        <v>1061</v>
      </c>
      <c r="B63" t="s">
        <v>20</v>
      </c>
      <c r="C63" s="1">
        <v>44112</v>
      </c>
      <c r="D63" s="1">
        <v>44433</v>
      </c>
      <c r="E63">
        <v>131013</v>
      </c>
    </row>
    <row r="64" spans="1:7" x14ac:dyDescent="0.25">
      <c r="A64">
        <v>1061</v>
      </c>
      <c r="B64" t="s">
        <v>20</v>
      </c>
      <c r="C64" s="1">
        <v>44434</v>
      </c>
      <c r="D64" s="1">
        <v>44826</v>
      </c>
      <c r="E64">
        <v>130706</v>
      </c>
      <c r="F64">
        <v>64570</v>
      </c>
      <c r="G64">
        <v>66136</v>
      </c>
    </row>
    <row r="65" spans="1:7" x14ac:dyDescent="0.25">
      <c r="A65">
        <v>1061</v>
      </c>
      <c r="B65" t="s">
        <v>20</v>
      </c>
      <c r="C65" s="1">
        <v>44827</v>
      </c>
      <c r="D65" s="1">
        <v>117974</v>
      </c>
      <c r="E65">
        <v>130843</v>
      </c>
      <c r="F65">
        <v>64611</v>
      </c>
      <c r="G65">
        <v>66232</v>
      </c>
    </row>
    <row r="66" spans="1:7" x14ac:dyDescent="0.25">
      <c r="A66">
        <v>1062</v>
      </c>
      <c r="B66" t="s">
        <v>21</v>
      </c>
      <c r="C66" s="1">
        <v>43831</v>
      </c>
      <c r="D66" s="1">
        <v>44111</v>
      </c>
      <c r="E66">
        <v>243196</v>
      </c>
    </row>
    <row r="67" spans="1:7" x14ac:dyDescent="0.25">
      <c r="A67">
        <v>1062</v>
      </c>
      <c r="B67" t="s">
        <v>21</v>
      </c>
      <c r="C67" s="1">
        <v>44112</v>
      </c>
      <c r="D67" s="1">
        <v>44433</v>
      </c>
      <c r="E67">
        <v>244156</v>
      </c>
    </row>
    <row r="68" spans="1:7" x14ac:dyDescent="0.25">
      <c r="A68">
        <v>1062</v>
      </c>
      <c r="B68" t="s">
        <v>21</v>
      </c>
      <c r="C68" s="1">
        <v>44434</v>
      </c>
      <c r="D68" s="1">
        <v>44826</v>
      </c>
      <c r="E68">
        <v>244989</v>
      </c>
      <c r="F68">
        <v>119730</v>
      </c>
      <c r="G68">
        <v>125259</v>
      </c>
    </row>
    <row r="69" spans="1:7" x14ac:dyDescent="0.25">
      <c r="A69">
        <v>1062</v>
      </c>
      <c r="B69" t="s">
        <v>21</v>
      </c>
      <c r="C69" s="1">
        <v>44827</v>
      </c>
      <c r="D69" s="1">
        <v>117974</v>
      </c>
      <c r="E69">
        <v>245406</v>
      </c>
      <c r="F69">
        <v>119842</v>
      </c>
      <c r="G69">
        <v>125564</v>
      </c>
    </row>
    <row r="70" spans="1:7" x14ac:dyDescent="0.25">
      <c r="A70">
        <v>2</v>
      </c>
      <c r="B70" t="s">
        <v>22</v>
      </c>
      <c r="C70" s="1">
        <v>43831</v>
      </c>
      <c r="D70" s="1">
        <v>44111</v>
      </c>
      <c r="E70">
        <v>1841179</v>
      </c>
    </row>
    <row r="71" spans="1:7" x14ac:dyDescent="0.25">
      <c r="A71">
        <v>2</v>
      </c>
      <c r="B71" t="s">
        <v>22</v>
      </c>
      <c r="C71" s="1">
        <v>44112</v>
      </c>
      <c r="D71" s="1">
        <v>44433</v>
      </c>
      <c r="E71">
        <v>1847253</v>
      </c>
    </row>
    <row r="72" spans="1:7" x14ac:dyDescent="0.25">
      <c r="A72">
        <v>2</v>
      </c>
      <c r="B72" t="s">
        <v>22</v>
      </c>
      <c r="C72" s="1">
        <v>44434</v>
      </c>
      <c r="D72" s="1">
        <v>44826</v>
      </c>
      <c r="E72">
        <v>1852478</v>
      </c>
      <c r="F72">
        <v>906933</v>
      </c>
      <c r="G72">
        <v>945545</v>
      </c>
    </row>
    <row r="73" spans="1:7" x14ac:dyDescent="0.25">
      <c r="A73">
        <v>2</v>
      </c>
      <c r="B73" t="s">
        <v>22</v>
      </c>
      <c r="C73" s="1">
        <v>44827</v>
      </c>
      <c r="D73" s="1">
        <v>117974</v>
      </c>
      <c r="E73">
        <v>1853935</v>
      </c>
      <c r="F73">
        <v>907682</v>
      </c>
      <c r="G73">
        <v>946253</v>
      </c>
    </row>
    <row r="74" spans="1:7" x14ac:dyDescent="0.25">
      <c r="A74">
        <v>2000</v>
      </c>
      <c r="B74" t="s">
        <v>23</v>
      </c>
      <c r="C74" s="1">
        <v>43831</v>
      </c>
      <c r="D74" s="1">
        <v>44111</v>
      </c>
      <c r="E74">
        <v>1841179</v>
      </c>
    </row>
    <row r="75" spans="1:7" x14ac:dyDescent="0.25">
      <c r="A75">
        <v>2000</v>
      </c>
      <c r="B75" t="s">
        <v>23</v>
      </c>
      <c r="C75" s="1">
        <v>44112</v>
      </c>
      <c r="D75" s="1">
        <v>44433</v>
      </c>
      <c r="E75">
        <v>1847253</v>
      </c>
    </row>
    <row r="76" spans="1:7" x14ac:dyDescent="0.25">
      <c r="A76">
        <v>2000</v>
      </c>
      <c r="B76" t="s">
        <v>23</v>
      </c>
      <c r="C76" s="1">
        <v>44434</v>
      </c>
      <c r="D76" s="1">
        <v>44826</v>
      </c>
      <c r="E76">
        <v>1852478</v>
      </c>
      <c r="F76">
        <v>906933</v>
      </c>
      <c r="G76">
        <v>945545</v>
      </c>
    </row>
    <row r="77" spans="1:7" x14ac:dyDescent="0.25">
      <c r="A77">
        <v>2000</v>
      </c>
      <c r="B77" t="s">
        <v>23</v>
      </c>
      <c r="C77" s="1">
        <v>44827</v>
      </c>
      <c r="D77" s="1">
        <v>117974</v>
      </c>
      <c r="E77">
        <v>1853935</v>
      </c>
      <c r="F77">
        <v>907682</v>
      </c>
      <c r="G77">
        <v>946253</v>
      </c>
    </row>
    <row r="78" spans="1:7" x14ac:dyDescent="0.25">
      <c r="A78">
        <v>3</v>
      </c>
      <c r="B78" t="s">
        <v>24</v>
      </c>
      <c r="C78" s="1">
        <v>43831</v>
      </c>
      <c r="D78" s="1">
        <v>44111</v>
      </c>
      <c r="E78">
        <v>7982448</v>
      </c>
    </row>
    <row r="79" spans="1:7" x14ac:dyDescent="0.25">
      <c r="A79">
        <v>3</v>
      </c>
      <c r="B79" t="s">
        <v>24</v>
      </c>
      <c r="C79" s="1">
        <v>44112</v>
      </c>
      <c r="D79" s="1">
        <v>44433</v>
      </c>
      <c r="E79">
        <v>7993608</v>
      </c>
    </row>
    <row r="80" spans="1:7" x14ac:dyDescent="0.25">
      <c r="A80">
        <v>3</v>
      </c>
      <c r="B80" t="s">
        <v>24</v>
      </c>
      <c r="C80" s="1">
        <v>44434</v>
      </c>
      <c r="D80" s="1">
        <v>44826</v>
      </c>
      <c r="E80">
        <v>8003421</v>
      </c>
      <c r="F80">
        <v>3951456</v>
      </c>
      <c r="G80">
        <v>4051965</v>
      </c>
    </row>
    <row r="81" spans="1:7" x14ac:dyDescent="0.25">
      <c r="A81">
        <v>3</v>
      </c>
      <c r="B81" t="s">
        <v>24</v>
      </c>
      <c r="C81" s="1">
        <v>44827</v>
      </c>
      <c r="D81" s="1">
        <v>117974</v>
      </c>
      <c r="E81">
        <v>8027031</v>
      </c>
      <c r="F81">
        <v>3962947</v>
      </c>
      <c r="G81">
        <v>4064084</v>
      </c>
    </row>
    <row r="82" spans="1:7" x14ac:dyDescent="0.25">
      <c r="A82">
        <v>3101</v>
      </c>
      <c r="B82" t="s">
        <v>25</v>
      </c>
      <c r="C82" s="1">
        <v>43831</v>
      </c>
      <c r="D82" s="1">
        <v>44111</v>
      </c>
      <c r="E82">
        <v>248292</v>
      </c>
    </row>
    <row r="83" spans="1:7" x14ac:dyDescent="0.25">
      <c r="A83">
        <v>3101</v>
      </c>
      <c r="B83" t="s">
        <v>25</v>
      </c>
      <c r="C83" s="1">
        <v>44112</v>
      </c>
      <c r="D83" s="1">
        <v>44433</v>
      </c>
      <c r="E83">
        <v>249406</v>
      </c>
    </row>
    <row r="84" spans="1:7" x14ac:dyDescent="0.25">
      <c r="A84">
        <v>3101</v>
      </c>
      <c r="B84" t="s">
        <v>25</v>
      </c>
      <c r="C84" s="1">
        <v>44434</v>
      </c>
      <c r="D84" s="1">
        <v>44826</v>
      </c>
      <c r="E84">
        <v>248561</v>
      </c>
      <c r="F84">
        <v>123229</v>
      </c>
      <c r="G84">
        <v>125332</v>
      </c>
    </row>
    <row r="85" spans="1:7" x14ac:dyDescent="0.25">
      <c r="A85">
        <v>3101</v>
      </c>
      <c r="B85" t="s">
        <v>25</v>
      </c>
      <c r="C85" s="1">
        <v>44827</v>
      </c>
      <c r="D85" s="1">
        <v>117974</v>
      </c>
      <c r="E85">
        <v>248823</v>
      </c>
      <c r="F85">
        <v>123441</v>
      </c>
      <c r="G85">
        <v>125382</v>
      </c>
    </row>
    <row r="86" spans="1:7" x14ac:dyDescent="0.25">
      <c r="A86">
        <v>3102</v>
      </c>
      <c r="B86" t="s">
        <v>26</v>
      </c>
      <c r="C86" s="1">
        <v>43831</v>
      </c>
      <c r="D86" s="1">
        <v>44111</v>
      </c>
      <c r="E86">
        <v>104948</v>
      </c>
    </row>
    <row r="87" spans="1:7" x14ac:dyDescent="0.25">
      <c r="A87">
        <v>3102</v>
      </c>
      <c r="B87" t="s">
        <v>26</v>
      </c>
      <c r="C87" s="1">
        <v>44112</v>
      </c>
      <c r="D87" s="1">
        <v>44433</v>
      </c>
      <c r="E87">
        <v>104291</v>
      </c>
    </row>
    <row r="88" spans="1:7" x14ac:dyDescent="0.25">
      <c r="A88">
        <v>3102</v>
      </c>
      <c r="B88" t="s">
        <v>26</v>
      </c>
      <c r="C88" s="1">
        <v>44434</v>
      </c>
      <c r="D88" s="1">
        <v>44826</v>
      </c>
      <c r="E88">
        <v>103866</v>
      </c>
      <c r="F88">
        <v>51606</v>
      </c>
      <c r="G88">
        <v>52260</v>
      </c>
    </row>
    <row r="89" spans="1:7" x14ac:dyDescent="0.25">
      <c r="A89">
        <v>3102</v>
      </c>
      <c r="B89" t="s">
        <v>26</v>
      </c>
      <c r="C89" s="1">
        <v>44827</v>
      </c>
      <c r="D89" s="1">
        <v>117974</v>
      </c>
      <c r="E89">
        <v>103694</v>
      </c>
      <c r="F89">
        <v>51539</v>
      </c>
      <c r="G89">
        <v>52155</v>
      </c>
    </row>
    <row r="90" spans="1:7" x14ac:dyDescent="0.25">
      <c r="A90">
        <v>3103</v>
      </c>
      <c r="B90" t="s">
        <v>27</v>
      </c>
      <c r="C90" s="1">
        <v>43831</v>
      </c>
      <c r="D90" s="1">
        <v>44111</v>
      </c>
      <c r="E90">
        <v>124151</v>
      </c>
    </row>
    <row r="91" spans="1:7" x14ac:dyDescent="0.25">
      <c r="A91">
        <v>3103</v>
      </c>
      <c r="B91" t="s">
        <v>27</v>
      </c>
      <c r="C91" s="1">
        <v>44112</v>
      </c>
      <c r="D91" s="1">
        <v>44433</v>
      </c>
      <c r="E91">
        <v>124371</v>
      </c>
    </row>
    <row r="92" spans="1:7" x14ac:dyDescent="0.25">
      <c r="A92">
        <v>3103</v>
      </c>
      <c r="B92" t="s">
        <v>27</v>
      </c>
      <c r="C92" s="1">
        <v>44434</v>
      </c>
      <c r="D92" s="1">
        <v>44826</v>
      </c>
      <c r="E92">
        <v>123840</v>
      </c>
      <c r="F92">
        <v>61654</v>
      </c>
      <c r="G92">
        <v>62186</v>
      </c>
    </row>
    <row r="93" spans="1:7" x14ac:dyDescent="0.25">
      <c r="A93">
        <v>3103</v>
      </c>
      <c r="B93" t="s">
        <v>27</v>
      </c>
      <c r="C93" s="1">
        <v>44827</v>
      </c>
      <c r="D93" s="1">
        <v>117974</v>
      </c>
      <c r="E93">
        <v>123949</v>
      </c>
      <c r="F93">
        <v>61765</v>
      </c>
      <c r="G93">
        <v>62184</v>
      </c>
    </row>
    <row r="94" spans="1:7" x14ac:dyDescent="0.25">
      <c r="A94">
        <v>3151</v>
      </c>
      <c r="B94" t="s">
        <v>28</v>
      </c>
      <c r="C94" s="1">
        <v>43831</v>
      </c>
      <c r="D94" s="1">
        <v>44111</v>
      </c>
      <c r="E94">
        <v>175920</v>
      </c>
    </row>
    <row r="95" spans="1:7" x14ac:dyDescent="0.25">
      <c r="A95">
        <v>3151</v>
      </c>
      <c r="B95" t="s">
        <v>28</v>
      </c>
      <c r="C95" s="1">
        <v>44112</v>
      </c>
      <c r="D95" s="1">
        <v>44433</v>
      </c>
      <c r="E95">
        <v>176523</v>
      </c>
    </row>
    <row r="96" spans="1:7" x14ac:dyDescent="0.25">
      <c r="A96">
        <v>3151</v>
      </c>
      <c r="B96" t="s">
        <v>28</v>
      </c>
      <c r="C96" s="1">
        <v>44434</v>
      </c>
      <c r="D96" s="1">
        <v>44826</v>
      </c>
      <c r="E96">
        <v>177227</v>
      </c>
      <c r="F96">
        <v>88590</v>
      </c>
      <c r="G96">
        <v>88637</v>
      </c>
    </row>
    <row r="97" spans="1:7" x14ac:dyDescent="0.25">
      <c r="A97">
        <v>3151</v>
      </c>
      <c r="B97" t="s">
        <v>28</v>
      </c>
      <c r="C97" s="1">
        <v>44827</v>
      </c>
      <c r="D97" s="1">
        <v>117974</v>
      </c>
      <c r="E97">
        <v>177919</v>
      </c>
      <c r="F97">
        <v>88884</v>
      </c>
      <c r="G97">
        <v>89035</v>
      </c>
    </row>
    <row r="98" spans="1:7" x14ac:dyDescent="0.25">
      <c r="A98">
        <v>3153</v>
      </c>
      <c r="B98" t="s">
        <v>29</v>
      </c>
      <c r="C98" s="1">
        <v>43831</v>
      </c>
      <c r="D98" s="1">
        <v>44111</v>
      </c>
      <c r="E98">
        <v>137014</v>
      </c>
    </row>
    <row r="99" spans="1:7" x14ac:dyDescent="0.25">
      <c r="A99">
        <v>3153</v>
      </c>
      <c r="B99" t="s">
        <v>29</v>
      </c>
      <c r="C99" s="1">
        <v>44112</v>
      </c>
      <c r="D99" s="1">
        <v>44433</v>
      </c>
      <c r="E99">
        <v>136292</v>
      </c>
    </row>
    <row r="100" spans="1:7" x14ac:dyDescent="0.25">
      <c r="A100">
        <v>3153</v>
      </c>
      <c r="B100" t="s">
        <v>29</v>
      </c>
      <c r="C100" s="1">
        <v>44434</v>
      </c>
      <c r="D100" s="1">
        <v>44826</v>
      </c>
      <c r="E100">
        <v>134688</v>
      </c>
      <c r="F100">
        <v>66826</v>
      </c>
      <c r="G100">
        <v>67862</v>
      </c>
    </row>
    <row r="101" spans="1:7" x14ac:dyDescent="0.25">
      <c r="A101">
        <v>3153</v>
      </c>
      <c r="B101" t="s">
        <v>29</v>
      </c>
      <c r="C101" s="1">
        <v>44827</v>
      </c>
      <c r="D101" s="1">
        <v>117974</v>
      </c>
      <c r="E101">
        <v>134050</v>
      </c>
      <c r="F101">
        <v>66486</v>
      </c>
      <c r="G101">
        <v>67564</v>
      </c>
    </row>
    <row r="102" spans="1:7" x14ac:dyDescent="0.25">
      <c r="A102">
        <v>3154</v>
      </c>
      <c r="B102" t="s">
        <v>30</v>
      </c>
      <c r="C102" s="1">
        <v>43831</v>
      </c>
      <c r="D102" s="1">
        <v>44111</v>
      </c>
      <c r="E102">
        <v>91307</v>
      </c>
    </row>
    <row r="103" spans="1:7" x14ac:dyDescent="0.25">
      <c r="A103">
        <v>3154</v>
      </c>
      <c r="B103" t="s">
        <v>30</v>
      </c>
      <c r="C103" s="1">
        <v>44112</v>
      </c>
      <c r="D103" s="1">
        <v>44433</v>
      </c>
      <c r="E103">
        <v>91297</v>
      </c>
    </row>
    <row r="104" spans="1:7" x14ac:dyDescent="0.25">
      <c r="A104">
        <v>3154</v>
      </c>
      <c r="B104" t="s">
        <v>30</v>
      </c>
      <c r="C104" s="1">
        <v>44434</v>
      </c>
      <c r="D104" s="1">
        <v>44826</v>
      </c>
      <c r="E104">
        <v>91518</v>
      </c>
      <c r="F104">
        <v>45394</v>
      </c>
      <c r="G104">
        <v>46124</v>
      </c>
    </row>
    <row r="105" spans="1:7" x14ac:dyDescent="0.25">
      <c r="A105">
        <v>3154</v>
      </c>
      <c r="B105" t="s">
        <v>30</v>
      </c>
      <c r="C105" s="1">
        <v>44827</v>
      </c>
      <c r="D105" s="1">
        <v>117974</v>
      </c>
      <c r="E105">
        <v>91379</v>
      </c>
      <c r="F105">
        <v>45304</v>
      </c>
      <c r="G105">
        <v>46075</v>
      </c>
    </row>
    <row r="106" spans="1:7" x14ac:dyDescent="0.25">
      <c r="A106">
        <v>3155</v>
      </c>
      <c r="B106" t="s">
        <v>31</v>
      </c>
      <c r="C106" s="1">
        <v>43831</v>
      </c>
      <c r="D106" s="1">
        <v>44111</v>
      </c>
      <c r="E106">
        <v>132765</v>
      </c>
    </row>
    <row r="107" spans="1:7" x14ac:dyDescent="0.25">
      <c r="A107">
        <v>3155</v>
      </c>
      <c r="B107" t="s">
        <v>31</v>
      </c>
      <c r="C107" s="1">
        <v>44112</v>
      </c>
      <c r="D107" s="1">
        <v>44433</v>
      </c>
      <c r="E107">
        <v>132285</v>
      </c>
    </row>
    <row r="108" spans="1:7" x14ac:dyDescent="0.25">
      <c r="A108">
        <v>3155</v>
      </c>
      <c r="B108" t="s">
        <v>31</v>
      </c>
      <c r="C108" s="1">
        <v>44434</v>
      </c>
      <c r="D108" s="1">
        <v>44826</v>
      </c>
      <c r="E108">
        <v>131772</v>
      </c>
      <c r="F108">
        <v>64988</v>
      </c>
      <c r="G108">
        <v>66784</v>
      </c>
    </row>
    <row r="109" spans="1:7" x14ac:dyDescent="0.25">
      <c r="A109">
        <v>3155</v>
      </c>
      <c r="B109" t="s">
        <v>31</v>
      </c>
      <c r="C109" s="1">
        <v>44827</v>
      </c>
      <c r="D109" s="1">
        <v>117974</v>
      </c>
      <c r="E109">
        <v>131765</v>
      </c>
      <c r="F109">
        <v>64911</v>
      </c>
      <c r="G109">
        <v>66854</v>
      </c>
    </row>
    <row r="110" spans="1:7" x14ac:dyDescent="0.25">
      <c r="A110">
        <v>3157</v>
      </c>
      <c r="B110" t="s">
        <v>32</v>
      </c>
      <c r="C110" s="1">
        <v>43831</v>
      </c>
      <c r="D110" s="1">
        <v>44111</v>
      </c>
      <c r="E110">
        <v>133965</v>
      </c>
    </row>
    <row r="111" spans="1:7" x14ac:dyDescent="0.25">
      <c r="A111">
        <v>3157</v>
      </c>
      <c r="B111" t="s">
        <v>32</v>
      </c>
      <c r="C111" s="1">
        <v>44112</v>
      </c>
      <c r="D111" s="1">
        <v>44433</v>
      </c>
      <c r="E111">
        <v>134801</v>
      </c>
    </row>
    <row r="112" spans="1:7" x14ac:dyDescent="0.25">
      <c r="A112">
        <v>3157</v>
      </c>
      <c r="B112" t="s">
        <v>32</v>
      </c>
      <c r="C112" s="1">
        <v>44434</v>
      </c>
      <c r="D112" s="1">
        <v>44826</v>
      </c>
      <c r="E112">
        <v>135844</v>
      </c>
      <c r="F112">
        <v>67280</v>
      </c>
      <c r="G112">
        <v>68564</v>
      </c>
    </row>
    <row r="113" spans="1:7" x14ac:dyDescent="0.25">
      <c r="A113">
        <v>3157</v>
      </c>
      <c r="B113" t="s">
        <v>32</v>
      </c>
      <c r="C113" s="1">
        <v>44827</v>
      </c>
      <c r="D113" s="1">
        <v>117974</v>
      </c>
      <c r="E113">
        <v>136960</v>
      </c>
      <c r="F113">
        <v>67861</v>
      </c>
      <c r="G113">
        <v>69099</v>
      </c>
    </row>
    <row r="114" spans="1:7" x14ac:dyDescent="0.25">
      <c r="A114">
        <v>3158</v>
      </c>
      <c r="B114" t="s">
        <v>33</v>
      </c>
      <c r="C114" s="1">
        <v>43831</v>
      </c>
      <c r="D114" s="1">
        <v>44111</v>
      </c>
      <c r="E114">
        <v>119960</v>
      </c>
    </row>
    <row r="115" spans="1:7" x14ac:dyDescent="0.25">
      <c r="A115">
        <v>3158</v>
      </c>
      <c r="B115" t="s">
        <v>33</v>
      </c>
      <c r="C115" s="1">
        <v>44112</v>
      </c>
      <c r="D115" s="1">
        <v>44433</v>
      </c>
      <c r="E115">
        <v>119622</v>
      </c>
    </row>
    <row r="116" spans="1:7" x14ac:dyDescent="0.25">
      <c r="A116">
        <v>3158</v>
      </c>
      <c r="B116" t="s">
        <v>33</v>
      </c>
      <c r="C116" s="1">
        <v>44434</v>
      </c>
      <c r="D116" s="1">
        <v>44826</v>
      </c>
      <c r="E116">
        <v>119361</v>
      </c>
      <c r="F116">
        <v>59102</v>
      </c>
      <c r="G116">
        <v>60259</v>
      </c>
    </row>
    <row r="117" spans="1:7" x14ac:dyDescent="0.25">
      <c r="A117">
        <v>3158</v>
      </c>
      <c r="B117" t="s">
        <v>33</v>
      </c>
      <c r="C117" s="1">
        <v>44827</v>
      </c>
      <c r="D117" s="1">
        <v>117974</v>
      </c>
      <c r="E117">
        <v>119224</v>
      </c>
      <c r="F117">
        <v>59013</v>
      </c>
      <c r="G117">
        <v>60211</v>
      </c>
    </row>
    <row r="118" spans="1:7" x14ac:dyDescent="0.25">
      <c r="A118">
        <v>3159</v>
      </c>
      <c r="B118" t="s">
        <v>34</v>
      </c>
      <c r="C118" s="1">
        <v>43831</v>
      </c>
      <c r="D118" s="1">
        <v>44111</v>
      </c>
      <c r="E118">
        <v>328074</v>
      </c>
    </row>
    <row r="119" spans="1:7" x14ac:dyDescent="0.25">
      <c r="A119">
        <v>3159</v>
      </c>
      <c r="B119" t="s">
        <v>34</v>
      </c>
      <c r="C119" s="1">
        <v>44112</v>
      </c>
      <c r="D119" s="1">
        <v>44433</v>
      </c>
      <c r="E119">
        <v>326041</v>
      </c>
    </row>
    <row r="120" spans="1:7" x14ac:dyDescent="0.25">
      <c r="A120">
        <v>3159</v>
      </c>
      <c r="B120" t="s">
        <v>34</v>
      </c>
      <c r="C120" s="1">
        <v>44434</v>
      </c>
      <c r="D120" s="1">
        <v>44826</v>
      </c>
      <c r="E120">
        <v>323900</v>
      </c>
      <c r="F120">
        <v>158991</v>
      </c>
      <c r="G120">
        <v>164909</v>
      </c>
    </row>
    <row r="121" spans="1:7" x14ac:dyDescent="0.25">
      <c r="A121">
        <v>3159</v>
      </c>
      <c r="B121" t="s">
        <v>34</v>
      </c>
      <c r="C121" s="1">
        <v>44827</v>
      </c>
      <c r="D121" s="1">
        <v>117974</v>
      </c>
      <c r="E121">
        <v>323661</v>
      </c>
      <c r="F121">
        <v>158925</v>
      </c>
      <c r="G121">
        <v>164736</v>
      </c>
    </row>
    <row r="122" spans="1:7" x14ac:dyDescent="0.25">
      <c r="A122">
        <v>3241</v>
      </c>
      <c r="B122" t="s">
        <v>35</v>
      </c>
      <c r="C122" s="1">
        <v>43831</v>
      </c>
      <c r="D122" s="1">
        <v>44111</v>
      </c>
      <c r="E122">
        <v>1157624</v>
      </c>
    </row>
    <row r="123" spans="1:7" x14ac:dyDescent="0.25">
      <c r="A123">
        <v>3241</v>
      </c>
      <c r="B123" t="s">
        <v>35</v>
      </c>
      <c r="C123" s="1">
        <v>44112</v>
      </c>
      <c r="D123" s="1">
        <v>44433</v>
      </c>
      <c r="E123">
        <v>1157115</v>
      </c>
    </row>
    <row r="124" spans="1:7" x14ac:dyDescent="0.25">
      <c r="A124">
        <v>3241</v>
      </c>
      <c r="B124" t="s">
        <v>35</v>
      </c>
      <c r="C124" s="1">
        <v>44434</v>
      </c>
      <c r="D124" s="1">
        <v>44826</v>
      </c>
      <c r="E124">
        <v>1155330</v>
      </c>
      <c r="F124">
        <v>565498</v>
      </c>
      <c r="G124">
        <v>589832</v>
      </c>
    </row>
    <row r="125" spans="1:7" x14ac:dyDescent="0.25">
      <c r="A125">
        <v>3241</v>
      </c>
      <c r="B125" t="s">
        <v>35</v>
      </c>
      <c r="C125" s="1">
        <v>44827</v>
      </c>
      <c r="D125" s="1">
        <v>117974</v>
      </c>
      <c r="E125">
        <v>1157541</v>
      </c>
      <c r="F125">
        <v>566956</v>
      </c>
      <c r="G125">
        <v>590585</v>
      </c>
    </row>
    <row r="126" spans="1:7" x14ac:dyDescent="0.25">
      <c r="A126">
        <v>3251</v>
      </c>
      <c r="B126" t="s">
        <v>36</v>
      </c>
      <c r="C126" s="1">
        <v>43831</v>
      </c>
      <c r="D126" s="1">
        <v>44111</v>
      </c>
      <c r="E126">
        <v>216886</v>
      </c>
    </row>
    <row r="127" spans="1:7" x14ac:dyDescent="0.25">
      <c r="A127">
        <v>3251</v>
      </c>
      <c r="B127" t="s">
        <v>36</v>
      </c>
      <c r="C127" s="1">
        <v>44112</v>
      </c>
      <c r="D127" s="1">
        <v>44433</v>
      </c>
      <c r="E127">
        <v>217089</v>
      </c>
    </row>
    <row r="128" spans="1:7" x14ac:dyDescent="0.25">
      <c r="A128">
        <v>3251</v>
      </c>
      <c r="B128" t="s">
        <v>36</v>
      </c>
      <c r="C128" s="1">
        <v>44434</v>
      </c>
      <c r="D128" s="1">
        <v>44826</v>
      </c>
      <c r="E128">
        <v>218072</v>
      </c>
      <c r="F128">
        <v>108453</v>
      </c>
      <c r="G128">
        <v>109619</v>
      </c>
    </row>
    <row r="129" spans="1:7" x14ac:dyDescent="0.25">
      <c r="A129">
        <v>3251</v>
      </c>
      <c r="B129" t="s">
        <v>36</v>
      </c>
      <c r="C129" s="1">
        <v>44827</v>
      </c>
      <c r="D129" s="1">
        <v>117974</v>
      </c>
      <c r="E129">
        <v>218839</v>
      </c>
      <c r="F129">
        <v>108750</v>
      </c>
      <c r="G129">
        <v>110089</v>
      </c>
    </row>
    <row r="130" spans="1:7" x14ac:dyDescent="0.25">
      <c r="A130">
        <v>3252</v>
      </c>
      <c r="B130" t="s">
        <v>37</v>
      </c>
      <c r="C130" s="1">
        <v>43831</v>
      </c>
      <c r="D130" s="1">
        <v>44111</v>
      </c>
      <c r="E130">
        <v>148559</v>
      </c>
    </row>
    <row r="131" spans="1:7" x14ac:dyDescent="0.25">
      <c r="A131">
        <v>3252</v>
      </c>
      <c r="B131" t="s">
        <v>37</v>
      </c>
      <c r="C131" s="1">
        <v>44112</v>
      </c>
      <c r="D131" s="1">
        <v>44433</v>
      </c>
      <c r="E131">
        <v>148549</v>
      </c>
    </row>
    <row r="132" spans="1:7" x14ac:dyDescent="0.25">
      <c r="A132">
        <v>3252</v>
      </c>
      <c r="B132" t="s">
        <v>37</v>
      </c>
      <c r="C132" s="1">
        <v>44434</v>
      </c>
      <c r="D132" s="1">
        <v>44826</v>
      </c>
      <c r="E132">
        <v>148580</v>
      </c>
      <c r="F132">
        <v>71881</v>
      </c>
      <c r="G132">
        <v>76699</v>
      </c>
    </row>
    <row r="133" spans="1:7" x14ac:dyDescent="0.25">
      <c r="A133">
        <v>3252</v>
      </c>
      <c r="B133" t="s">
        <v>37</v>
      </c>
      <c r="C133" s="1">
        <v>44827</v>
      </c>
      <c r="D133" s="1">
        <v>117974</v>
      </c>
      <c r="E133">
        <v>148963</v>
      </c>
      <c r="F133">
        <v>72157</v>
      </c>
      <c r="G133">
        <v>76806</v>
      </c>
    </row>
    <row r="134" spans="1:7" x14ac:dyDescent="0.25">
      <c r="A134">
        <v>3254</v>
      </c>
      <c r="B134" t="s">
        <v>38</v>
      </c>
      <c r="C134" s="1">
        <v>43831</v>
      </c>
      <c r="D134" s="1">
        <v>44111</v>
      </c>
      <c r="E134">
        <v>276594</v>
      </c>
    </row>
    <row r="135" spans="1:7" x14ac:dyDescent="0.25">
      <c r="A135">
        <v>3254</v>
      </c>
      <c r="B135" t="s">
        <v>38</v>
      </c>
      <c r="C135" s="1">
        <v>44112</v>
      </c>
      <c r="D135" s="1">
        <v>44433</v>
      </c>
      <c r="E135">
        <v>275817</v>
      </c>
    </row>
    <row r="136" spans="1:7" x14ac:dyDescent="0.25">
      <c r="A136">
        <v>3254</v>
      </c>
      <c r="B136" t="s">
        <v>38</v>
      </c>
      <c r="C136" s="1">
        <v>44434</v>
      </c>
      <c r="D136" s="1">
        <v>44826</v>
      </c>
      <c r="E136">
        <v>275464</v>
      </c>
      <c r="F136">
        <v>134529</v>
      </c>
      <c r="G136">
        <v>140935</v>
      </c>
    </row>
    <row r="137" spans="1:7" x14ac:dyDescent="0.25">
      <c r="A137">
        <v>3254</v>
      </c>
      <c r="B137" t="s">
        <v>38</v>
      </c>
      <c r="C137" s="1">
        <v>44827</v>
      </c>
      <c r="D137" s="1">
        <v>117974</v>
      </c>
      <c r="E137">
        <v>274773</v>
      </c>
      <c r="F137">
        <v>134208</v>
      </c>
      <c r="G137">
        <v>140565</v>
      </c>
    </row>
    <row r="138" spans="1:7" x14ac:dyDescent="0.25">
      <c r="A138">
        <v>3255</v>
      </c>
      <c r="B138" t="s">
        <v>39</v>
      </c>
      <c r="C138" s="1">
        <v>43831</v>
      </c>
      <c r="D138" s="1">
        <v>44111</v>
      </c>
      <c r="E138">
        <v>70975</v>
      </c>
    </row>
    <row r="139" spans="1:7" x14ac:dyDescent="0.25">
      <c r="A139">
        <v>3255</v>
      </c>
      <c r="B139" t="s">
        <v>39</v>
      </c>
      <c r="C139" s="1">
        <v>44112</v>
      </c>
      <c r="D139" s="1">
        <v>44433</v>
      </c>
      <c r="E139">
        <v>70458</v>
      </c>
    </row>
    <row r="140" spans="1:7" x14ac:dyDescent="0.25">
      <c r="A140">
        <v>3255</v>
      </c>
      <c r="B140" t="s">
        <v>39</v>
      </c>
      <c r="C140" s="1">
        <v>44434</v>
      </c>
      <c r="D140" s="1">
        <v>44826</v>
      </c>
      <c r="E140">
        <v>70207</v>
      </c>
      <c r="F140">
        <v>34811</v>
      </c>
      <c r="G140">
        <v>35396</v>
      </c>
    </row>
    <row r="141" spans="1:7" x14ac:dyDescent="0.25">
      <c r="A141">
        <v>3255</v>
      </c>
      <c r="B141" t="s">
        <v>39</v>
      </c>
      <c r="C141" s="1">
        <v>44827</v>
      </c>
      <c r="D141" s="1">
        <v>117974</v>
      </c>
      <c r="E141">
        <v>69862</v>
      </c>
      <c r="F141">
        <v>34701</v>
      </c>
      <c r="G141">
        <v>35161</v>
      </c>
    </row>
    <row r="142" spans="1:7" x14ac:dyDescent="0.25">
      <c r="A142">
        <v>3256</v>
      </c>
      <c r="B142" t="s">
        <v>40</v>
      </c>
      <c r="C142" s="1">
        <v>43831</v>
      </c>
      <c r="D142" s="1">
        <v>44111</v>
      </c>
      <c r="E142">
        <v>121386</v>
      </c>
    </row>
    <row r="143" spans="1:7" x14ac:dyDescent="0.25">
      <c r="A143">
        <v>3256</v>
      </c>
      <c r="B143" t="s">
        <v>40</v>
      </c>
      <c r="C143" s="1">
        <v>44112</v>
      </c>
      <c r="D143" s="1">
        <v>44433</v>
      </c>
      <c r="E143">
        <v>121390</v>
      </c>
    </row>
    <row r="144" spans="1:7" x14ac:dyDescent="0.25">
      <c r="A144">
        <v>3256</v>
      </c>
      <c r="B144" t="s">
        <v>40</v>
      </c>
      <c r="C144" s="1">
        <v>44434</v>
      </c>
      <c r="D144" s="1">
        <v>44826</v>
      </c>
      <c r="E144">
        <v>121645</v>
      </c>
      <c r="F144">
        <v>60325</v>
      </c>
      <c r="G144">
        <v>61320</v>
      </c>
    </row>
    <row r="145" spans="1:7" x14ac:dyDescent="0.25">
      <c r="A145">
        <v>3256</v>
      </c>
      <c r="B145" t="s">
        <v>40</v>
      </c>
      <c r="C145" s="1">
        <v>44827</v>
      </c>
      <c r="D145" s="1">
        <v>117974</v>
      </c>
      <c r="E145">
        <v>121773</v>
      </c>
      <c r="F145">
        <v>60359</v>
      </c>
      <c r="G145">
        <v>61414</v>
      </c>
    </row>
    <row r="146" spans="1:7" x14ac:dyDescent="0.25">
      <c r="A146">
        <v>3257</v>
      </c>
      <c r="B146" t="s">
        <v>41</v>
      </c>
      <c r="C146" s="1">
        <v>43831</v>
      </c>
      <c r="D146" s="1">
        <v>44111</v>
      </c>
      <c r="E146">
        <v>157781</v>
      </c>
    </row>
    <row r="147" spans="1:7" x14ac:dyDescent="0.25">
      <c r="A147">
        <v>3257</v>
      </c>
      <c r="B147" t="s">
        <v>41</v>
      </c>
      <c r="C147" s="1">
        <v>44112</v>
      </c>
      <c r="D147" s="1">
        <v>44433</v>
      </c>
      <c r="E147">
        <v>157820</v>
      </c>
    </row>
    <row r="148" spans="1:7" x14ac:dyDescent="0.25">
      <c r="A148">
        <v>3257</v>
      </c>
      <c r="B148" t="s">
        <v>41</v>
      </c>
      <c r="C148" s="1">
        <v>44434</v>
      </c>
      <c r="D148" s="1">
        <v>44826</v>
      </c>
      <c r="E148">
        <v>158406</v>
      </c>
      <c r="F148">
        <v>77748</v>
      </c>
      <c r="G148">
        <v>80658</v>
      </c>
    </row>
    <row r="149" spans="1:7" x14ac:dyDescent="0.25">
      <c r="A149">
        <v>3257</v>
      </c>
      <c r="B149" t="s">
        <v>41</v>
      </c>
      <c r="C149" s="1">
        <v>44827</v>
      </c>
      <c r="D149" s="1">
        <v>117974</v>
      </c>
      <c r="E149">
        <v>158108</v>
      </c>
      <c r="F149">
        <v>77495</v>
      </c>
      <c r="G149">
        <v>80613</v>
      </c>
    </row>
    <row r="150" spans="1:7" x14ac:dyDescent="0.25">
      <c r="A150">
        <v>3351</v>
      </c>
      <c r="B150" t="s">
        <v>42</v>
      </c>
      <c r="C150" s="1">
        <v>43831</v>
      </c>
      <c r="D150" s="1">
        <v>44111</v>
      </c>
      <c r="E150">
        <v>178936</v>
      </c>
    </row>
    <row r="151" spans="1:7" x14ac:dyDescent="0.25">
      <c r="A151">
        <v>3351</v>
      </c>
      <c r="B151" t="s">
        <v>42</v>
      </c>
      <c r="C151" s="1">
        <v>44112</v>
      </c>
      <c r="D151" s="1">
        <v>44433</v>
      </c>
      <c r="E151">
        <v>179011</v>
      </c>
    </row>
    <row r="152" spans="1:7" x14ac:dyDescent="0.25">
      <c r="A152">
        <v>3351</v>
      </c>
      <c r="B152" t="s">
        <v>42</v>
      </c>
      <c r="C152" s="1">
        <v>44434</v>
      </c>
      <c r="D152" s="1">
        <v>44826</v>
      </c>
      <c r="E152">
        <v>179386</v>
      </c>
      <c r="F152">
        <v>88220</v>
      </c>
      <c r="G152">
        <v>91166</v>
      </c>
    </row>
    <row r="153" spans="1:7" x14ac:dyDescent="0.25">
      <c r="A153">
        <v>3351</v>
      </c>
      <c r="B153" t="s">
        <v>42</v>
      </c>
      <c r="C153" s="1">
        <v>44827</v>
      </c>
      <c r="D153" s="1">
        <v>117974</v>
      </c>
      <c r="E153">
        <v>179915</v>
      </c>
      <c r="F153">
        <v>88410</v>
      </c>
      <c r="G153">
        <v>91505</v>
      </c>
    </row>
    <row r="154" spans="1:7" x14ac:dyDescent="0.25">
      <c r="A154">
        <v>3352</v>
      </c>
      <c r="B154" t="s">
        <v>43</v>
      </c>
      <c r="C154" s="1">
        <v>43831</v>
      </c>
      <c r="D154" s="1">
        <v>44111</v>
      </c>
      <c r="E154">
        <v>198213</v>
      </c>
    </row>
    <row r="155" spans="1:7" x14ac:dyDescent="0.25">
      <c r="A155">
        <v>3352</v>
      </c>
      <c r="B155" t="s">
        <v>43</v>
      </c>
      <c r="C155" s="1">
        <v>44112</v>
      </c>
      <c r="D155" s="1">
        <v>44433</v>
      </c>
      <c r="E155">
        <v>198038</v>
      </c>
    </row>
    <row r="156" spans="1:7" x14ac:dyDescent="0.25">
      <c r="A156">
        <v>3352</v>
      </c>
      <c r="B156" t="s">
        <v>43</v>
      </c>
      <c r="C156" s="1">
        <v>44434</v>
      </c>
      <c r="D156" s="1">
        <v>44826</v>
      </c>
      <c r="E156">
        <v>198826</v>
      </c>
      <c r="F156">
        <v>97159</v>
      </c>
      <c r="G156">
        <v>101667</v>
      </c>
    </row>
    <row r="157" spans="1:7" x14ac:dyDescent="0.25">
      <c r="A157">
        <v>3352</v>
      </c>
      <c r="B157" t="s">
        <v>43</v>
      </c>
      <c r="C157" s="1">
        <v>44827</v>
      </c>
      <c r="D157" s="1">
        <v>117974</v>
      </c>
      <c r="E157">
        <v>199603</v>
      </c>
      <c r="F157">
        <v>97551</v>
      </c>
      <c r="G157">
        <v>102052</v>
      </c>
    </row>
    <row r="158" spans="1:7" x14ac:dyDescent="0.25">
      <c r="A158">
        <v>3353</v>
      </c>
      <c r="B158" t="s">
        <v>44</v>
      </c>
      <c r="C158" s="1">
        <v>43831</v>
      </c>
      <c r="D158" s="1">
        <v>44111</v>
      </c>
      <c r="E158">
        <v>252776</v>
      </c>
    </row>
    <row r="159" spans="1:7" x14ac:dyDescent="0.25">
      <c r="A159">
        <v>3353</v>
      </c>
      <c r="B159" t="s">
        <v>44</v>
      </c>
      <c r="C159" s="1">
        <v>44112</v>
      </c>
      <c r="D159" s="1">
        <v>44433</v>
      </c>
      <c r="E159">
        <v>254431</v>
      </c>
    </row>
    <row r="160" spans="1:7" x14ac:dyDescent="0.25">
      <c r="A160">
        <v>3353</v>
      </c>
      <c r="B160" t="s">
        <v>44</v>
      </c>
      <c r="C160" s="1">
        <v>44434</v>
      </c>
      <c r="D160" s="1">
        <v>44826</v>
      </c>
      <c r="E160">
        <v>256016</v>
      </c>
      <c r="F160">
        <v>125995</v>
      </c>
      <c r="G160">
        <v>130021</v>
      </c>
    </row>
    <row r="161" spans="1:7" x14ac:dyDescent="0.25">
      <c r="A161">
        <v>3353</v>
      </c>
      <c r="B161" t="s">
        <v>44</v>
      </c>
      <c r="C161" s="1">
        <v>44827</v>
      </c>
      <c r="D161" s="1">
        <v>117974</v>
      </c>
      <c r="E161">
        <v>257548</v>
      </c>
      <c r="F161">
        <v>126845</v>
      </c>
      <c r="G161">
        <v>130703</v>
      </c>
    </row>
    <row r="162" spans="1:7" x14ac:dyDescent="0.25">
      <c r="A162">
        <v>3354</v>
      </c>
      <c r="B162" t="s">
        <v>45</v>
      </c>
      <c r="C162" s="1">
        <v>43831</v>
      </c>
      <c r="D162" s="1">
        <v>44111</v>
      </c>
      <c r="E162">
        <v>48424</v>
      </c>
    </row>
    <row r="163" spans="1:7" x14ac:dyDescent="0.25">
      <c r="A163">
        <v>3354</v>
      </c>
      <c r="B163" t="s">
        <v>45</v>
      </c>
      <c r="C163" s="1">
        <v>44112</v>
      </c>
      <c r="D163" s="1">
        <v>44433</v>
      </c>
      <c r="E163">
        <v>48412</v>
      </c>
    </row>
    <row r="164" spans="1:7" x14ac:dyDescent="0.25">
      <c r="A164">
        <v>3354</v>
      </c>
      <c r="B164" t="s">
        <v>45</v>
      </c>
      <c r="C164" s="1">
        <v>44434</v>
      </c>
      <c r="D164" s="1">
        <v>44826</v>
      </c>
      <c r="E164">
        <v>48503</v>
      </c>
      <c r="F164">
        <v>23791</v>
      </c>
      <c r="G164">
        <v>24712</v>
      </c>
    </row>
    <row r="165" spans="1:7" x14ac:dyDescent="0.25">
      <c r="A165">
        <v>3354</v>
      </c>
      <c r="B165" t="s">
        <v>45</v>
      </c>
      <c r="C165" s="1">
        <v>44827</v>
      </c>
      <c r="D165" s="1">
        <v>117974</v>
      </c>
      <c r="E165">
        <v>48472</v>
      </c>
      <c r="F165">
        <v>23701</v>
      </c>
      <c r="G165">
        <v>24771</v>
      </c>
    </row>
    <row r="166" spans="1:7" x14ac:dyDescent="0.25">
      <c r="A166">
        <v>3355</v>
      </c>
      <c r="B166" t="s">
        <v>46</v>
      </c>
      <c r="C166" s="1">
        <v>43831</v>
      </c>
      <c r="D166" s="1">
        <v>44111</v>
      </c>
      <c r="E166">
        <v>183372</v>
      </c>
    </row>
    <row r="167" spans="1:7" x14ac:dyDescent="0.25">
      <c r="A167">
        <v>3355</v>
      </c>
      <c r="B167" t="s">
        <v>46</v>
      </c>
      <c r="C167" s="1">
        <v>44112</v>
      </c>
      <c r="D167" s="1">
        <v>44433</v>
      </c>
      <c r="E167">
        <v>184139</v>
      </c>
    </row>
    <row r="168" spans="1:7" x14ac:dyDescent="0.25">
      <c r="A168">
        <v>3355</v>
      </c>
      <c r="B168" t="s">
        <v>46</v>
      </c>
      <c r="C168" s="1">
        <v>44434</v>
      </c>
      <c r="D168" s="1">
        <v>44826</v>
      </c>
      <c r="E168">
        <v>184235</v>
      </c>
      <c r="F168">
        <v>89914</v>
      </c>
      <c r="G168">
        <v>94321</v>
      </c>
    </row>
    <row r="169" spans="1:7" x14ac:dyDescent="0.25">
      <c r="A169">
        <v>3355</v>
      </c>
      <c r="B169" t="s">
        <v>46</v>
      </c>
      <c r="C169" s="1">
        <v>44827</v>
      </c>
      <c r="D169" s="1">
        <v>117974</v>
      </c>
      <c r="E169">
        <v>185129</v>
      </c>
      <c r="F169">
        <v>90292</v>
      </c>
      <c r="G169">
        <v>94837</v>
      </c>
    </row>
    <row r="170" spans="1:7" x14ac:dyDescent="0.25">
      <c r="A170">
        <v>3356</v>
      </c>
      <c r="B170" t="s">
        <v>47</v>
      </c>
      <c r="C170" s="1">
        <v>43831</v>
      </c>
      <c r="D170" s="1">
        <v>44111</v>
      </c>
      <c r="E170">
        <v>113517</v>
      </c>
    </row>
    <row r="171" spans="1:7" x14ac:dyDescent="0.25">
      <c r="A171">
        <v>3356</v>
      </c>
      <c r="B171" t="s">
        <v>47</v>
      </c>
      <c r="C171" s="1">
        <v>44112</v>
      </c>
      <c r="D171" s="1">
        <v>44433</v>
      </c>
      <c r="E171">
        <v>113928</v>
      </c>
    </row>
    <row r="172" spans="1:7" x14ac:dyDescent="0.25">
      <c r="A172">
        <v>3356</v>
      </c>
      <c r="B172" t="s">
        <v>47</v>
      </c>
      <c r="C172" s="1">
        <v>44434</v>
      </c>
      <c r="D172" s="1">
        <v>44826</v>
      </c>
      <c r="E172">
        <v>114640</v>
      </c>
      <c r="F172">
        <v>56217</v>
      </c>
      <c r="G172">
        <v>58423</v>
      </c>
    </row>
    <row r="173" spans="1:7" x14ac:dyDescent="0.25">
      <c r="A173">
        <v>3356</v>
      </c>
      <c r="B173" t="s">
        <v>47</v>
      </c>
      <c r="C173" s="1">
        <v>44827</v>
      </c>
      <c r="D173" s="1">
        <v>117974</v>
      </c>
      <c r="E173">
        <v>115054</v>
      </c>
      <c r="F173">
        <v>56317</v>
      </c>
      <c r="G173">
        <v>58737</v>
      </c>
    </row>
    <row r="174" spans="1:7" x14ac:dyDescent="0.25">
      <c r="A174">
        <v>3357</v>
      </c>
      <c r="B174" t="s">
        <v>48</v>
      </c>
      <c r="C174" s="1">
        <v>43831</v>
      </c>
      <c r="D174" s="1">
        <v>44111</v>
      </c>
      <c r="E174">
        <v>163455</v>
      </c>
    </row>
    <row r="175" spans="1:7" x14ac:dyDescent="0.25">
      <c r="A175">
        <v>3357</v>
      </c>
      <c r="B175" t="s">
        <v>48</v>
      </c>
      <c r="C175" s="1">
        <v>44112</v>
      </c>
      <c r="D175" s="1">
        <v>44433</v>
      </c>
      <c r="E175">
        <v>163782</v>
      </c>
    </row>
    <row r="176" spans="1:7" x14ac:dyDescent="0.25">
      <c r="A176">
        <v>3357</v>
      </c>
      <c r="B176" t="s">
        <v>48</v>
      </c>
      <c r="C176" s="1">
        <v>44434</v>
      </c>
      <c r="D176" s="1">
        <v>44826</v>
      </c>
      <c r="E176">
        <v>164486</v>
      </c>
      <c r="F176">
        <v>82542</v>
      </c>
      <c r="G176">
        <v>81944</v>
      </c>
    </row>
    <row r="177" spans="1:7" x14ac:dyDescent="0.25">
      <c r="A177">
        <v>3357</v>
      </c>
      <c r="B177" t="s">
        <v>48</v>
      </c>
      <c r="C177" s="1">
        <v>44827</v>
      </c>
      <c r="D177" s="1">
        <v>117974</v>
      </c>
      <c r="E177">
        <v>165001</v>
      </c>
      <c r="F177">
        <v>82752</v>
      </c>
      <c r="G177">
        <v>82249</v>
      </c>
    </row>
    <row r="178" spans="1:7" x14ac:dyDescent="0.25">
      <c r="A178">
        <v>3358</v>
      </c>
      <c r="B178" t="s">
        <v>49</v>
      </c>
      <c r="C178" s="1">
        <v>43831</v>
      </c>
      <c r="D178" s="1">
        <v>44111</v>
      </c>
      <c r="E178">
        <v>139755</v>
      </c>
    </row>
    <row r="179" spans="1:7" x14ac:dyDescent="0.25">
      <c r="A179">
        <v>3358</v>
      </c>
      <c r="B179" t="s">
        <v>49</v>
      </c>
      <c r="C179" s="1">
        <v>44112</v>
      </c>
      <c r="D179" s="1">
        <v>44433</v>
      </c>
      <c r="E179">
        <v>140673</v>
      </c>
    </row>
    <row r="180" spans="1:7" x14ac:dyDescent="0.25">
      <c r="A180">
        <v>3358</v>
      </c>
      <c r="B180" t="s">
        <v>49</v>
      </c>
      <c r="C180" s="1">
        <v>44434</v>
      </c>
      <c r="D180" s="1">
        <v>44826</v>
      </c>
      <c r="E180">
        <v>140885</v>
      </c>
      <c r="F180">
        <v>70403</v>
      </c>
      <c r="G180">
        <v>70482</v>
      </c>
    </row>
    <row r="181" spans="1:7" x14ac:dyDescent="0.25">
      <c r="A181">
        <v>3358</v>
      </c>
      <c r="B181" t="s">
        <v>49</v>
      </c>
      <c r="C181" s="1">
        <v>44827</v>
      </c>
      <c r="D181" s="1">
        <v>117974</v>
      </c>
      <c r="E181">
        <v>142912</v>
      </c>
      <c r="F181">
        <v>71543</v>
      </c>
      <c r="G181">
        <v>71369</v>
      </c>
    </row>
    <row r="182" spans="1:7" x14ac:dyDescent="0.25">
      <c r="A182">
        <v>3359</v>
      </c>
      <c r="B182" t="s">
        <v>50</v>
      </c>
      <c r="C182" s="1">
        <v>43831</v>
      </c>
      <c r="D182" s="1">
        <v>44111</v>
      </c>
      <c r="E182">
        <v>203102</v>
      </c>
    </row>
    <row r="183" spans="1:7" x14ac:dyDescent="0.25">
      <c r="A183">
        <v>3359</v>
      </c>
      <c r="B183" t="s">
        <v>50</v>
      </c>
      <c r="C183" s="1">
        <v>44112</v>
      </c>
      <c r="D183" s="1">
        <v>44433</v>
      </c>
      <c r="E183">
        <v>204512</v>
      </c>
    </row>
    <row r="184" spans="1:7" x14ac:dyDescent="0.25">
      <c r="A184">
        <v>3359</v>
      </c>
      <c r="B184" t="s">
        <v>50</v>
      </c>
      <c r="C184" s="1">
        <v>44434</v>
      </c>
      <c r="D184" s="1">
        <v>44826</v>
      </c>
      <c r="E184">
        <v>205357</v>
      </c>
      <c r="F184">
        <v>102187</v>
      </c>
      <c r="G184">
        <v>103170</v>
      </c>
    </row>
    <row r="185" spans="1:7" x14ac:dyDescent="0.25">
      <c r="A185">
        <v>3359</v>
      </c>
      <c r="B185" t="s">
        <v>50</v>
      </c>
      <c r="C185" s="1">
        <v>44827</v>
      </c>
      <c r="D185" s="1">
        <v>117974</v>
      </c>
      <c r="E185">
        <v>206496</v>
      </c>
      <c r="F185">
        <v>102726</v>
      </c>
      <c r="G185">
        <v>103770</v>
      </c>
    </row>
    <row r="186" spans="1:7" x14ac:dyDescent="0.25">
      <c r="A186">
        <v>3360</v>
      </c>
      <c r="B186" t="s">
        <v>51</v>
      </c>
      <c r="C186" s="1">
        <v>43831</v>
      </c>
      <c r="D186" s="1">
        <v>44111</v>
      </c>
      <c r="E186">
        <v>92572</v>
      </c>
    </row>
    <row r="187" spans="1:7" x14ac:dyDescent="0.25">
      <c r="A187">
        <v>3360</v>
      </c>
      <c r="B187" t="s">
        <v>51</v>
      </c>
      <c r="C187" s="1">
        <v>44112</v>
      </c>
      <c r="D187" s="1">
        <v>44433</v>
      </c>
      <c r="E187">
        <v>92389</v>
      </c>
    </row>
    <row r="188" spans="1:7" x14ac:dyDescent="0.25">
      <c r="A188">
        <v>3360</v>
      </c>
      <c r="B188" t="s">
        <v>51</v>
      </c>
      <c r="C188" s="1">
        <v>44434</v>
      </c>
      <c r="D188" s="1">
        <v>44826</v>
      </c>
      <c r="E188">
        <v>92566</v>
      </c>
      <c r="F188">
        <v>45215</v>
      </c>
      <c r="G188">
        <v>47351</v>
      </c>
    </row>
    <row r="189" spans="1:7" x14ac:dyDescent="0.25">
      <c r="A189">
        <v>3360</v>
      </c>
      <c r="B189" t="s">
        <v>51</v>
      </c>
      <c r="C189" s="1">
        <v>44827</v>
      </c>
      <c r="D189" s="1">
        <v>117974</v>
      </c>
      <c r="E189">
        <v>92894</v>
      </c>
      <c r="F189">
        <v>45374</v>
      </c>
      <c r="G189">
        <v>47520</v>
      </c>
    </row>
    <row r="190" spans="1:7" x14ac:dyDescent="0.25">
      <c r="A190">
        <v>3361</v>
      </c>
      <c r="B190" t="s">
        <v>52</v>
      </c>
      <c r="C190" s="1">
        <v>43831</v>
      </c>
      <c r="D190" s="1">
        <v>44111</v>
      </c>
      <c r="E190">
        <v>136792</v>
      </c>
    </row>
    <row r="191" spans="1:7" x14ac:dyDescent="0.25">
      <c r="A191">
        <v>3361</v>
      </c>
      <c r="B191" t="s">
        <v>52</v>
      </c>
      <c r="C191" s="1">
        <v>44112</v>
      </c>
      <c r="D191" s="1">
        <v>44433</v>
      </c>
      <c r="E191">
        <v>137133</v>
      </c>
    </row>
    <row r="192" spans="1:7" x14ac:dyDescent="0.25">
      <c r="A192">
        <v>3361</v>
      </c>
      <c r="B192" t="s">
        <v>52</v>
      </c>
      <c r="C192" s="1">
        <v>44434</v>
      </c>
      <c r="D192" s="1">
        <v>44826</v>
      </c>
      <c r="E192">
        <v>137574</v>
      </c>
      <c r="F192">
        <v>67584</v>
      </c>
      <c r="G192">
        <v>69990</v>
      </c>
    </row>
    <row r="193" spans="1:7" x14ac:dyDescent="0.25">
      <c r="A193">
        <v>3361</v>
      </c>
      <c r="B193" t="s">
        <v>52</v>
      </c>
      <c r="C193" s="1">
        <v>44827</v>
      </c>
      <c r="D193" s="1">
        <v>117974</v>
      </c>
      <c r="E193">
        <v>138507</v>
      </c>
      <c r="F193">
        <v>68048</v>
      </c>
      <c r="G193">
        <v>70459</v>
      </c>
    </row>
    <row r="194" spans="1:7" x14ac:dyDescent="0.25">
      <c r="A194">
        <v>3401</v>
      </c>
      <c r="B194" t="s">
        <v>53</v>
      </c>
      <c r="C194" s="1">
        <v>43831</v>
      </c>
      <c r="D194" s="1">
        <v>44111</v>
      </c>
      <c r="E194">
        <v>77607</v>
      </c>
    </row>
    <row r="195" spans="1:7" x14ac:dyDescent="0.25">
      <c r="A195">
        <v>3401</v>
      </c>
      <c r="B195" t="s">
        <v>53</v>
      </c>
      <c r="C195" s="1">
        <v>44112</v>
      </c>
      <c r="D195" s="1">
        <v>44433</v>
      </c>
      <c r="E195">
        <v>77559</v>
      </c>
    </row>
    <row r="196" spans="1:7" x14ac:dyDescent="0.25">
      <c r="A196">
        <v>3401</v>
      </c>
      <c r="B196" t="s">
        <v>53</v>
      </c>
      <c r="C196" s="1">
        <v>44434</v>
      </c>
      <c r="D196" s="1">
        <v>44826</v>
      </c>
      <c r="E196">
        <v>77503</v>
      </c>
      <c r="F196">
        <v>38272</v>
      </c>
      <c r="G196">
        <v>39231</v>
      </c>
    </row>
    <row r="197" spans="1:7" x14ac:dyDescent="0.25">
      <c r="A197">
        <v>3401</v>
      </c>
      <c r="B197" t="s">
        <v>53</v>
      </c>
      <c r="C197" s="1">
        <v>44827</v>
      </c>
      <c r="D197" s="1">
        <v>117974</v>
      </c>
      <c r="E197">
        <v>77522</v>
      </c>
      <c r="F197">
        <v>38263</v>
      </c>
      <c r="G197">
        <v>39259</v>
      </c>
    </row>
    <row r="198" spans="1:7" x14ac:dyDescent="0.25">
      <c r="A198">
        <v>3402</v>
      </c>
      <c r="B198" t="s">
        <v>54</v>
      </c>
      <c r="C198" s="1">
        <v>43831</v>
      </c>
      <c r="D198" s="1">
        <v>44111</v>
      </c>
      <c r="E198">
        <v>50195</v>
      </c>
    </row>
    <row r="199" spans="1:7" x14ac:dyDescent="0.25">
      <c r="A199">
        <v>3402</v>
      </c>
      <c r="B199" t="s">
        <v>54</v>
      </c>
      <c r="C199" s="1">
        <v>44112</v>
      </c>
      <c r="D199" s="1">
        <v>44433</v>
      </c>
      <c r="E199">
        <v>49913</v>
      </c>
    </row>
    <row r="200" spans="1:7" x14ac:dyDescent="0.25">
      <c r="A200">
        <v>3402</v>
      </c>
      <c r="B200" t="s">
        <v>54</v>
      </c>
      <c r="C200" s="1">
        <v>44434</v>
      </c>
      <c r="D200" s="1">
        <v>44826</v>
      </c>
      <c r="E200">
        <v>49874</v>
      </c>
      <c r="F200">
        <v>24869</v>
      </c>
      <c r="G200">
        <v>25005</v>
      </c>
    </row>
    <row r="201" spans="1:7" x14ac:dyDescent="0.25">
      <c r="A201">
        <v>3402</v>
      </c>
      <c r="B201" t="s">
        <v>54</v>
      </c>
      <c r="C201" s="1">
        <v>44827</v>
      </c>
      <c r="D201" s="1">
        <v>117974</v>
      </c>
      <c r="E201">
        <v>49523</v>
      </c>
      <c r="F201">
        <v>24672</v>
      </c>
      <c r="G201">
        <v>24851</v>
      </c>
    </row>
    <row r="202" spans="1:7" x14ac:dyDescent="0.25">
      <c r="A202">
        <v>3403</v>
      </c>
      <c r="B202" t="s">
        <v>55</v>
      </c>
      <c r="C202" s="1">
        <v>43831</v>
      </c>
      <c r="D202" s="1">
        <v>44111</v>
      </c>
      <c r="E202">
        <v>168210</v>
      </c>
    </row>
    <row r="203" spans="1:7" x14ac:dyDescent="0.25">
      <c r="A203">
        <v>3403</v>
      </c>
      <c r="B203" t="s">
        <v>55</v>
      </c>
      <c r="C203" s="1">
        <v>44112</v>
      </c>
      <c r="D203" s="1">
        <v>44433</v>
      </c>
      <c r="E203">
        <v>169077</v>
      </c>
    </row>
    <row r="204" spans="1:7" x14ac:dyDescent="0.25">
      <c r="A204">
        <v>3403</v>
      </c>
      <c r="B204" t="s">
        <v>55</v>
      </c>
      <c r="C204" s="1">
        <v>44434</v>
      </c>
      <c r="D204" s="1">
        <v>44826</v>
      </c>
      <c r="E204">
        <v>169605</v>
      </c>
      <c r="F204">
        <v>81362</v>
      </c>
      <c r="G204">
        <v>88243</v>
      </c>
    </row>
    <row r="205" spans="1:7" x14ac:dyDescent="0.25">
      <c r="A205">
        <v>3403</v>
      </c>
      <c r="B205" t="s">
        <v>55</v>
      </c>
      <c r="C205" s="1">
        <v>44827</v>
      </c>
      <c r="D205" s="1">
        <v>117974</v>
      </c>
      <c r="E205">
        <v>170389</v>
      </c>
      <c r="F205">
        <v>81715</v>
      </c>
      <c r="G205">
        <v>88674</v>
      </c>
    </row>
    <row r="206" spans="1:7" x14ac:dyDescent="0.25">
      <c r="A206">
        <v>3404</v>
      </c>
      <c r="B206" t="s">
        <v>56</v>
      </c>
      <c r="C206" s="1">
        <v>43831</v>
      </c>
      <c r="D206" s="1">
        <v>44111</v>
      </c>
      <c r="E206">
        <v>164748</v>
      </c>
    </row>
    <row r="207" spans="1:7" x14ac:dyDescent="0.25">
      <c r="A207">
        <v>3404</v>
      </c>
      <c r="B207" t="s">
        <v>56</v>
      </c>
      <c r="C207" s="1">
        <v>44112</v>
      </c>
      <c r="D207" s="1">
        <v>44433</v>
      </c>
      <c r="E207">
        <v>165251</v>
      </c>
    </row>
    <row r="208" spans="1:7" x14ac:dyDescent="0.25">
      <c r="A208">
        <v>3404</v>
      </c>
      <c r="B208" t="s">
        <v>56</v>
      </c>
      <c r="C208" s="1">
        <v>44434</v>
      </c>
      <c r="D208" s="1">
        <v>44826</v>
      </c>
      <c r="E208">
        <v>164223</v>
      </c>
      <c r="F208">
        <v>79475</v>
      </c>
      <c r="G208">
        <v>84748</v>
      </c>
    </row>
    <row r="209" spans="1:7" x14ac:dyDescent="0.25">
      <c r="A209">
        <v>3404</v>
      </c>
      <c r="B209" t="s">
        <v>56</v>
      </c>
      <c r="C209" s="1">
        <v>44827</v>
      </c>
      <c r="D209" s="1">
        <v>117974</v>
      </c>
      <c r="E209">
        <v>165034</v>
      </c>
      <c r="F209">
        <v>79834</v>
      </c>
      <c r="G209">
        <v>85200</v>
      </c>
    </row>
    <row r="210" spans="1:7" x14ac:dyDescent="0.25">
      <c r="A210">
        <v>3405</v>
      </c>
      <c r="B210" t="s">
        <v>57</v>
      </c>
      <c r="C210" s="1">
        <v>43831</v>
      </c>
      <c r="D210" s="1">
        <v>44111</v>
      </c>
      <c r="E210">
        <v>76278</v>
      </c>
    </row>
    <row r="211" spans="1:7" x14ac:dyDescent="0.25">
      <c r="A211">
        <v>3405</v>
      </c>
      <c r="B211" t="s">
        <v>57</v>
      </c>
      <c r="C211" s="1">
        <v>44112</v>
      </c>
      <c r="D211" s="1">
        <v>44433</v>
      </c>
      <c r="E211">
        <v>76089</v>
      </c>
    </row>
    <row r="212" spans="1:7" x14ac:dyDescent="0.25">
      <c r="A212">
        <v>3405</v>
      </c>
      <c r="B212" t="s">
        <v>57</v>
      </c>
      <c r="C212" s="1">
        <v>44434</v>
      </c>
      <c r="D212" s="1">
        <v>44826</v>
      </c>
      <c r="E212">
        <v>75189</v>
      </c>
      <c r="F212">
        <v>36914</v>
      </c>
      <c r="G212">
        <v>38275</v>
      </c>
    </row>
    <row r="213" spans="1:7" x14ac:dyDescent="0.25">
      <c r="A213">
        <v>3405</v>
      </c>
      <c r="B213" t="s">
        <v>57</v>
      </c>
      <c r="C213" s="1">
        <v>44827</v>
      </c>
      <c r="D213" s="1">
        <v>117974</v>
      </c>
      <c r="E213">
        <v>75027</v>
      </c>
      <c r="F213">
        <v>36856</v>
      </c>
      <c r="G213">
        <v>38171</v>
      </c>
    </row>
    <row r="214" spans="1:7" x14ac:dyDescent="0.25">
      <c r="A214">
        <v>3451</v>
      </c>
      <c r="B214" t="s">
        <v>58</v>
      </c>
      <c r="C214" s="1">
        <v>43831</v>
      </c>
      <c r="D214" s="1">
        <v>44111</v>
      </c>
      <c r="E214">
        <v>124071</v>
      </c>
    </row>
    <row r="215" spans="1:7" x14ac:dyDescent="0.25">
      <c r="A215">
        <v>3451</v>
      </c>
      <c r="B215" t="s">
        <v>58</v>
      </c>
      <c r="C215" s="1">
        <v>44112</v>
      </c>
      <c r="D215" s="1">
        <v>44433</v>
      </c>
      <c r="E215">
        <v>124859</v>
      </c>
    </row>
    <row r="216" spans="1:7" x14ac:dyDescent="0.25">
      <c r="A216">
        <v>3451</v>
      </c>
      <c r="B216" t="s">
        <v>58</v>
      </c>
      <c r="C216" s="1">
        <v>44434</v>
      </c>
      <c r="D216" s="1">
        <v>44826</v>
      </c>
      <c r="E216">
        <v>125643</v>
      </c>
      <c r="F216">
        <v>61253</v>
      </c>
      <c r="G216">
        <v>64390</v>
      </c>
    </row>
    <row r="217" spans="1:7" x14ac:dyDescent="0.25">
      <c r="A217">
        <v>3451</v>
      </c>
      <c r="B217" t="s">
        <v>58</v>
      </c>
      <c r="C217" s="1">
        <v>44827</v>
      </c>
      <c r="D217" s="1">
        <v>117974</v>
      </c>
      <c r="E217">
        <v>126475</v>
      </c>
      <c r="F217">
        <v>61706</v>
      </c>
      <c r="G217">
        <v>64769</v>
      </c>
    </row>
    <row r="218" spans="1:7" x14ac:dyDescent="0.25">
      <c r="A218">
        <v>3452</v>
      </c>
      <c r="B218" t="s">
        <v>59</v>
      </c>
      <c r="C218" s="1">
        <v>43831</v>
      </c>
      <c r="D218" s="1">
        <v>44111</v>
      </c>
      <c r="E218">
        <v>189848</v>
      </c>
    </row>
    <row r="219" spans="1:7" x14ac:dyDescent="0.25">
      <c r="A219">
        <v>3452</v>
      </c>
      <c r="B219" t="s">
        <v>59</v>
      </c>
      <c r="C219" s="1">
        <v>44112</v>
      </c>
      <c r="D219" s="1">
        <v>44433</v>
      </c>
      <c r="E219">
        <v>189694</v>
      </c>
    </row>
    <row r="220" spans="1:7" x14ac:dyDescent="0.25">
      <c r="A220">
        <v>3452</v>
      </c>
      <c r="B220" t="s">
        <v>59</v>
      </c>
      <c r="C220" s="1">
        <v>44434</v>
      </c>
      <c r="D220" s="1">
        <v>44826</v>
      </c>
      <c r="E220">
        <v>190178</v>
      </c>
      <c r="F220">
        <v>93479</v>
      </c>
      <c r="G220">
        <v>96699</v>
      </c>
    </row>
    <row r="221" spans="1:7" x14ac:dyDescent="0.25">
      <c r="A221">
        <v>3452</v>
      </c>
      <c r="B221" t="s">
        <v>59</v>
      </c>
      <c r="C221" s="1">
        <v>44827</v>
      </c>
      <c r="D221" s="1">
        <v>117974</v>
      </c>
      <c r="E221">
        <v>190425</v>
      </c>
      <c r="F221">
        <v>93549</v>
      </c>
      <c r="G221">
        <v>96876</v>
      </c>
    </row>
    <row r="222" spans="1:7" x14ac:dyDescent="0.25">
      <c r="A222">
        <v>3453</v>
      </c>
      <c r="B222" t="s">
        <v>60</v>
      </c>
      <c r="C222" s="1">
        <v>43831</v>
      </c>
      <c r="D222" s="1">
        <v>44111</v>
      </c>
      <c r="E222">
        <v>169348</v>
      </c>
    </row>
    <row r="223" spans="1:7" x14ac:dyDescent="0.25">
      <c r="A223">
        <v>3453</v>
      </c>
      <c r="B223" t="s">
        <v>60</v>
      </c>
      <c r="C223" s="1">
        <v>44112</v>
      </c>
      <c r="D223" s="1">
        <v>44433</v>
      </c>
      <c r="E223">
        <v>170682</v>
      </c>
    </row>
    <row r="224" spans="1:7" x14ac:dyDescent="0.25">
      <c r="A224">
        <v>3453</v>
      </c>
      <c r="B224" t="s">
        <v>60</v>
      </c>
      <c r="C224" s="1">
        <v>44434</v>
      </c>
      <c r="D224" s="1">
        <v>44826</v>
      </c>
      <c r="E224">
        <v>172632</v>
      </c>
      <c r="F224">
        <v>87408</v>
      </c>
      <c r="G224">
        <v>85224</v>
      </c>
    </row>
    <row r="225" spans="1:7" x14ac:dyDescent="0.25">
      <c r="A225">
        <v>3453</v>
      </c>
      <c r="B225" t="s">
        <v>60</v>
      </c>
      <c r="C225" s="1">
        <v>44827</v>
      </c>
      <c r="D225" s="1">
        <v>117974</v>
      </c>
      <c r="E225">
        <v>173980</v>
      </c>
      <c r="F225">
        <v>88060</v>
      </c>
      <c r="G225">
        <v>85920</v>
      </c>
    </row>
    <row r="226" spans="1:7" x14ac:dyDescent="0.25">
      <c r="A226">
        <v>3454</v>
      </c>
      <c r="B226" t="s">
        <v>61</v>
      </c>
      <c r="C226" s="1">
        <v>43831</v>
      </c>
      <c r="D226" s="1">
        <v>44111</v>
      </c>
      <c r="E226">
        <v>325657</v>
      </c>
    </row>
    <row r="227" spans="1:7" x14ac:dyDescent="0.25">
      <c r="A227">
        <v>3454</v>
      </c>
      <c r="B227" t="s">
        <v>61</v>
      </c>
      <c r="C227" s="1">
        <v>44112</v>
      </c>
      <c r="D227" s="1">
        <v>44433</v>
      </c>
      <c r="E227">
        <v>326954</v>
      </c>
    </row>
    <row r="228" spans="1:7" x14ac:dyDescent="0.25">
      <c r="A228">
        <v>3454</v>
      </c>
      <c r="B228" t="s">
        <v>61</v>
      </c>
      <c r="C228" s="1">
        <v>44434</v>
      </c>
      <c r="D228" s="1">
        <v>44826</v>
      </c>
      <c r="E228">
        <v>328930</v>
      </c>
      <c r="F228">
        <v>166929</v>
      </c>
      <c r="G228">
        <v>162001</v>
      </c>
    </row>
    <row r="229" spans="1:7" x14ac:dyDescent="0.25">
      <c r="A229">
        <v>3454</v>
      </c>
      <c r="B229" t="s">
        <v>61</v>
      </c>
      <c r="C229" s="1">
        <v>44827</v>
      </c>
      <c r="D229" s="1">
        <v>117974</v>
      </c>
      <c r="E229">
        <v>331397</v>
      </c>
      <c r="F229">
        <v>168010</v>
      </c>
      <c r="G229">
        <v>163387</v>
      </c>
    </row>
    <row r="230" spans="1:7" x14ac:dyDescent="0.25">
      <c r="A230">
        <v>3455</v>
      </c>
      <c r="B230" t="s">
        <v>62</v>
      </c>
      <c r="C230" s="1">
        <v>43831</v>
      </c>
      <c r="D230" s="1">
        <v>44111</v>
      </c>
      <c r="E230">
        <v>98460</v>
      </c>
    </row>
    <row r="231" spans="1:7" x14ac:dyDescent="0.25">
      <c r="A231">
        <v>3455</v>
      </c>
      <c r="B231" t="s">
        <v>62</v>
      </c>
      <c r="C231" s="1">
        <v>44112</v>
      </c>
      <c r="D231" s="1">
        <v>44433</v>
      </c>
      <c r="E231">
        <v>98704</v>
      </c>
    </row>
    <row r="232" spans="1:7" x14ac:dyDescent="0.25">
      <c r="A232">
        <v>3455</v>
      </c>
      <c r="B232" t="s">
        <v>62</v>
      </c>
      <c r="C232" s="1">
        <v>44434</v>
      </c>
      <c r="D232" s="1">
        <v>44826</v>
      </c>
      <c r="E232">
        <v>98971</v>
      </c>
      <c r="F232">
        <v>48233</v>
      </c>
      <c r="G232">
        <v>50738</v>
      </c>
    </row>
    <row r="233" spans="1:7" x14ac:dyDescent="0.25">
      <c r="A233">
        <v>3455</v>
      </c>
      <c r="B233" t="s">
        <v>62</v>
      </c>
      <c r="C233" s="1">
        <v>44827</v>
      </c>
      <c r="D233" s="1">
        <v>117974</v>
      </c>
      <c r="E233">
        <v>98971</v>
      </c>
      <c r="F233">
        <v>48171</v>
      </c>
      <c r="G233">
        <v>50800</v>
      </c>
    </row>
    <row r="234" spans="1:7" x14ac:dyDescent="0.25">
      <c r="A234">
        <v>3456</v>
      </c>
      <c r="B234" t="s">
        <v>63</v>
      </c>
      <c r="C234" s="1">
        <v>43831</v>
      </c>
      <c r="D234" s="1">
        <v>44111</v>
      </c>
      <c r="E234">
        <v>136511</v>
      </c>
    </row>
    <row r="235" spans="1:7" x14ac:dyDescent="0.25">
      <c r="A235">
        <v>3456</v>
      </c>
      <c r="B235" t="s">
        <v>63</v>
      </c>
      <c r="C235" s="1">
        <v>44112</v>
      </c>
      <c r="D235" s="1">
        <v>44433</v>
      </c>
      <c r="E235">
        <v>137162</v>
      </c>
    </row>
    <row r="236" spans="1:7" x14ac:dyDescent="0.25">
      <c r="A236">
        <v>3456</v>
      </c>
      <c r="B236" t="s">
        <v>63</v>
      </c>
      <c r="C236" s="1">
        <v>44434</v>
      </c>
      <c r="D236" s="1">
        <v>44826</v>
      </c>
      <c r="E236">
        <v>137891</v>
      </c>
      <c r="F236">
        <v>69038</v>
      </c>
      <c r="G236">
        <v>68853</v>
      </c>
    </row>
    <row r="237" spans="1:7" x14ac:dyDescent="0.25">
      <c r="A237">
        <v>3456</v>
      </c>
      <c r="B237" t="s">
        <v>63</v>
      </c>
      <c r="C237" s="1">
        <v>44827</v>
      </c>
      <c r="D237" s="1">
        <v>117974</v>
      </c>
      <c r="E237">
        <v>138722</v>
      </c>
      <c r="F237">
        <v>69384</v>
      </c>
      <c r="G237">
        <v>69338</v>
      </c>
    </row>
    <row r="238" spans="1:7" x14ac:dyDescent="0.25">
      <c r="A238">
        <v>3457</v>
      </c>
      <c r="B238" t="s">
        <v>64</v>
      </c>
      <c r="C238" s="1">
        <v>43831</v>
      </c>
      <c r="D238" s="1">
        <v>44111</v>
      </c>
      <c r="E238">
        <v>169809</v>
      </c>
    </row>
    <row r="239" spans="1:7" x14ac:dyDescent="0.25">
      <c r="A239">
        <v>3457</v>
      </c>
      <c r="B239" t="s">
        <v>64</v>
      </c>
      <c r="C239" s="1">
        <v>44112</v>
      </c>
      <c r="D239" s="1">
        <v>44433</v>
      </c>
      <c r="E239">
        <v>170756</v>
      </c>
    </row>
    <row r="240" spans="1:7" x14ac:dyDescent="0.25">
      <c r="A240">
        <v>3457</v>
      </c>
      <c r="B240" t="s">
        <v>64</v>
      </c>
      <c r="C240" s="1">
        <v>44434</v>
      </c>
      <c r="D240" s="1">
        <v>44826</v>
      </c>
      <c r="E240">
        <v>171483</v>
      </c>
      <c r="F240">
        <v>85430</v>
      </c>
      <c r="G240">
        <v>86053</v>
      </c>
    </row>
    <row r="241" spans="1:7" x14ac:dyDescent="0.25">
      <c r="A241">
        <v>3457</v>
      </c>
      <c r="B241" t="s">
        <v>64</v>
      </c>
      <c r="C241" s="1">
        <v>44827</v>
      </c>
      <c r="D241" s="1">
        <v>117974</v>
      </c>
      <c r="E241">
        <v>172421</v>
      </c>
      <c r="F241">
        <v>85910</v>
      </c>
      <c r="G241">
        <v>86511</v>
      </c>
    </row>
    <row r="242" spans="1:7" x14ac:dyDescent="0.25">
      <c r="A242">
        <v>3458</v>
      </c>
      <c r="B242" t="s">
        <v>65</v>
      </c>
      <c r="C242" s="1">
        <v>43831</v>
      </c>
      <c r="D242" s="1">
        <v>44111</v>
      </c>
      <c r="E242">
        <v>130144</v>
      </c>
    </row>
    <row r="243" spans="1:7" x14ac:dyDescent="0.25">
      <c r="A243">
        <v>3458</v>
      </c>
      <c r="B243" t="s">
        <v>65</v>
      </c>
      <c r="C243" s="1">
        <v>44112</v>
      </c>
      <c r="D243" s="1">
        <v>44433</v>
      </c>
      <c r="E243">
        <v>130890</v>
      </c>
    </row>
    <row r="244" spans="1:7" x14ac:dyDescent="0.25">
      <c r="A244">
        <v>3458</v>
      </c>
      <c r="B244" t="s">
        <v>65</v>
      </c>
      <c r="C244" s="1">
        <v>44434</v>
      </c>
      <c r="D244" s="1">
        <v>44826</v>
      </c>
      <c r="E244">
        <v>131467</v>
      </c>
      <c r="F244">
        <v>65231</v>
      </c>
      <c r="G244">
        <v>66236</v>
      </c>
    </row>
    <row r="245" spans="1:7" x14ac:dyDescent="0.25">
      <c r="A245">
        <v>3458</v>
      </c>
      <c r="B245" t="s">
        <v>65</v>
      </c>
      <c r="C245" s="1">
        <v>44827</v>
      </c>
      <c r="D245" s="1">
        <v>117974</v>
      </c>
      <c r="E245">
        <v>132091</v>
      </c>
      <c r="F245">
        <v>65542</v>
      </c>
      <c r="G245">
        <v>66549</v>
      </c>
    </row>
    <row r="246" spans="1:7" x14ac:dyDescent="0.25">
      <c r="A246">
        <v>3459</v>
      </c>
      <c r="B246" t="s">
        <v>66</v>
      </c>
      <c r="C246" s="1">
        <v>43831</v>
      </c>
      <c r="D246" s="1">
        <v>44111</v>
      </c>
      <c r="E246">
        <v>357343</v>
      </c>
    </row>
    <row r="247" spans="1:7" x14ac:dyDescent="0.25">
      <c r="A247">
        <v>3459</v>
      </c>
      <c r="B247" t="s">
        <v>66</v>
      </c>
      <c r="C247" s="1">
        <v>44112</v>
      </c>
      <c r="D247" s="1">
        <v>44433</v>
      </c>
      <c r="E247">
        <v>358080</v>
      </c>
    </row>
    <row r="248" spans="1:7" x14ac:dyDescent="0.25">
      <c r="A248">
        <v>3459</v>
      </c>
      <c r="B248" t="s">
        <v>66</v>
      </c>
      <c r="C248" s="1">
        <v>44434</v>
      </c>
      <c r="D248" s="1">
        <v>44826</v>
      </c>
      <c r="E248">
        <v>359471</v>
      </c>
      <c r="F248">
        <v>178390</v>
      </c>
      <c r="G248">
        <v>181081</v>
      </c>
    </row>
    <row r="249" spans="1:7" x14ac:dyDescent="0.25">
      <c r="A249">
        <v>3459</v>
      </c>
      <c r="B249" t="s">
        <v>66</v>
      </c>
      <c r="C249" s="1">
        <v>44827</v>
      </c>
      <c r="D249" s="1">
        <v>117974</v>
      </c>
      <c r="E249">
        <v>361550</v>
      </c>
      <c r="F249">
        <v>179587</v>
      </c>
      <c r="G249">
        <v>181963</v>
      </c>
    </row>
    <row r="250" spans="1:7" x14ac:dyDescent="0.25">
      <c r="A250">
        <v>3460</v>
      </c>
      <c r="B250" t="s">
        <v>67</v>
      </c>
      <c r="C250" s="1">
        <v>43831</v>
      </c>
      <c r="D250" s="1">
        <v>44111</v>
      </c>
      <c r="E250">
        <v>141598</v>
      </c>
    </row>
    <row r="251" spans="1:7" x14ac:dyDescent="0.25">
      <c r="A251">
        <v>3460</v>
      </c>
      <c r="B251" t="s">
        <v>67</v>
      </c>
      <c r="C251" s="1">
        <v>44112</v>
      </c>
      <c r="D251" s="1">
        <v>44433</v>
      </c>
      <c r="E251">
        <v>142814</v>
      </c>
    </row>
    <row r="252" spans="1:7" x14ac:dyDescent="0.25">
      <c r="A252">
        <v>3460</v>
      </c>
      <c r="B252" t="s">
        <v>67</v>
      </c>
      <c r="C252" s="1">
        <v>44434</v>
      </c>
      <c r="D252" s="1">
        <v>44826</v>
      </c>
      <c r="E252">
        <v>143698</v>
      </c>
      <c r="F252">
        <v>72588</v>
      </c>
      <c r="G252">
        <v>71110</v>
      </c>
    </row>
    <row r="253" spans="1:7" x14ac:dyDescent="0.25">
      <c r="A253">
        <v>3460</v>
      </c>
      <c r="B253" t="s">
        <v>67</v>
      </c>
      <c r="C253" s="1">
        <v>44827</v>
      </c>
      <c r="D253" s="1">
        <v>117974</v>
      </c>
      <c r="E253">
        <v>144805</v>
      </c>
      <c r="F253">
        <v>73010</v>
      </c>
      <c r="G253">
        <v>71795</v>
      </c>
    </row>
    <row r="254" spans="1:7" x14ac:dyDescent="0.25">
      <c r="A254">
        <v>3461</v>
      </c>
      <c r="B254" t="s">
        <v>68</v>
      </c>
      <c r="C254" s="1">
        <v>43831</v>
      </c>
      <c r="D254" s="1">
        <v>44111</v>
      </c>
      <c r="E254">
        <v>88624</v>
      </c>
    </row>
    <row r="255" spans="1:7" x14ac:dyDescent="0.25">
      <c r="A255">
        <v>3461</v>
      </c>
      <c r="B255" t="s">
        <v>68</v>
      </c>
      <c r="C255" s="1">
        <v>44112</v>
      </c>
      <c r="D255" s="1">
        <v>44433</v>
      </c>
      <c r="E255">
        <v>88583</v>
      </c>
    </row>
    <row r="256" spans="1:7" x14ac:dyDescent="0.25">
      <c r="A256">
        <v>3461</v>
      </c>
      <c r="B256" t="s">
        <v>68</v>
      </c>
      <c r="C256" s="1">
        <v>44434</v>
      </c>
      <c r="D256" s="1">
        <v>44826</v>
      </c>
      <c r="E256">
        <v>88524</v>
      </c>
      <c r="F256">
        <v>44329</v>
      </c>
      <c r="G256">
        <v>44195</v>
      </c>
    </row>
    <row r="257" spans="1:7" x14ac:dyDescent="0.25">
      <c r="A257">
        <v>3461</v>
      </c>
      <c r="B257" t="s">
        <v>68</v>
      </c>
      <c r="C257" s="1">
        <v>44827</v>
      </c>
      <c r="D257" s="1">
        <v>117974</v>
      </c>
      <c r="E257">
        <v>88430</v>
      </c>
      <c r="F257">
        <v>44226</v>
      </c>
      <c r="G257">
        <v>44204</v>
      </c>
    </row>
    <row r="258" spans="1:7" x14ac:dyDescent="0.25">
      <c r="A258">
        <v>3462</v>
      </c>
      <c r="B258" t="s">
        <v>69</v>
      </c>
      <c r="C258" s="1">
        <v>43831</v>
      </c>
      <c r="D258" s="1">
        <v>44111</v>
      </c>
      <c r="E258">
        <v>56882</v>
      </c>
    </row>
    <row r="259" spans="1:7" x14ac:dyDescent="0.25">
      <c r="A259">
        <v>3462</v>
      </c>
      <c r="B259" t="s">
        <v>69</v>
      </c>
      <c r="C259" s="1">
        <v>44112</v>
      </c>
      <c r="D259" s="1">
        <v>44433</v>
      </c>
      <c r="E259">
        <v>56926</v>
      </c>
    </row>
    <row r="260" spans="1:7" x14ac:dyDescent="0.25">
      <c r="A260">
        <v>3462</v>
      </c>
      <c r="B260" t="s">
        <v>69</v>
      </c>
      <c r="C260" s="1">
        <v>44434</v>
      </c>
      <c r="D260" s="1">
        <v>44826</v>
      </c>
      <c r="E260">
        <v>57384</v>
      </c>
      <c r="F260">
        <v>28124</v>
      </c>
      <c r="G260">
        <v>29260</v>
      </c>
    </row>
    <row r="261" spans="1:7" x14ac:dyDescent="0.25">
      <c r="A261">
        <v>3462</v>
      </c>
      <c r="B261" t="s">
        <v>69</v>
      </c>
      <c r="C261" s="1">
        <v>44827</v>
      </c>
      <c r="D261" s="1">
        <v>117974</v>
      </c>
      <c r="E261">
        <v>57455</v>
      </c>
      <c r="F261">
        <v>28138</v>
      </c>
      <c r="G261">
        <v>29317</v>
      </c>
    </row>
    <row r="262" spans="1:7" x14ac:dyDescent="0.25">
      <c r="A262">
        <v>4</v>
      </c>
      <c r="B262" t="s">
        <v>70</v>
      </c>
      <c r="C262" s="1">
        <v>43831</v>
      </c>
      <c r="D262" s="1">
        <v>44111</v>
      </c>
      <c r="E262">
        <v>682986</v>
      </c>
    </row>
    <row r="263" spans="1:7" x14ac:dyDescent="0.25">
      <c r="A263">
        <v>4</v>
      </c>
      <c r="B263" t="s">
        <v>70</v>
      </c>
      <c r="C263" s="1">
        <v>44112</v>
      </c>
      <c r="D263" s="1">
        <v>44433</v>
      </c>
      <c r="E263">
        <v>681202</v>
      </c>
    </row>
    <row r="264" spans="1:7" x14ac:dyDescent="0.25">
      <c r="A264">
        <v>4</v>
      </c>
      <c r="B264" t="s">
        <v>70</v>
      </c>
      <c r="C264" s="1">
        <v>44434</v>
      </c>
      <c r="D264" s="1">
        <v>44826</v>
      </c>
      <c r="E264">
        <v>680130</v>
      </c>
      <c r="F264">
        <v>336390</v>
      </c>
      <c r="G264">
        <v>343740</v>
      </c>
    </row>
    <row r="265" spans="1:7" x14ac:dyDescent="0.25">
      <c r="A265">
        <v>4</v>
      </c>
      <c r="B265" t="s">
        <v>70</v>
      </c>
      <c r="C265" s="1">
        <v>44827</v>
      </c>
      <c r="D265" s="1">
        <v>117974</v>
      </c>
      <c r="E265">
        <v>676463</v>
      </c>
      <c r="F265">
        <v>334319</v>
      </c>
      <c r="G265">
        <v>342144</v>
      </c>
    </row>
    <row r="266" spans="1:7" x14ac:dyDescent="0.25">
      <c r="A266">
        <v>4011</v>
      </c>
      <c r="B266" t="s">
        <v>71</v>
      </c>
      <c r="C266" s="1">
        <v>43831</v>
      </c>
      <c r="D266" s="1">
        <v>44111</v>
      </c>
      <c r="E266">
        <v>569352</v>
      </c>
    </row>
    <row r="267" spans="1:7" x14ac:dyDescent="0.25">
      <c r="A267">
        <v>4011</v>
      </c>
      <c r="B267" t="s">
        <v>71</v>
      </c>
      <c r="C267" s="1">
        <v>44112</v>
      </c>
      <c r="D267" s="1">
        <v>44433</v>
      </c>
      <c r="E267">
        <v>567559</v>
      </c>
    </row>
    <row r="268" spans="1:7" x14ac:dyDescent="0.25">
      <c r="A268">
        <v>4011</v>
      </c>
      <c r="B268" t="s">
        <v>71</v>
      </c>
      <c r="C268" s="1">
        <v>44434</v>
      </c>
      <c r="D268" s="1">
        <v>44826</v>
      </c>
      <c r="E268">
        <v>566573</v>
      </c>
      <c r="F268">
        <v>279841</v>
      </c>
      <c r="G268">
        <v>286732</v>
      </c>
    </row>
    <row r="269" spans="1:7" x14ac:dyDescent="0.25">
      <c r="A269">
        <v>4011</v>
      </c>
      <c r="B269" t="s">
        <v>71</v>
      </c>
      <c r="C269" s="1">
        <v>44827</v>
      </c>
      <c r="D269" s="1">
        <v>117974</v>
      </c>
      <c r="E269">
        <v>563290</v>
      </c>
      <c r="F269">
        <v>278085</v>
      </c>
      <c r="G269">
        <v>285205</v>
      </c>
    </row>
    <row r="270" spans="1:7" x14ac:dyDescent="0.25">
      <c r="A270">
        <v>4012</v>
      </c>
      <c r="B270" t="s">
        <v>72</v>
      </c>
      <c r="C270" s="1">
        <v>43831</v>
      </c>
      <c r="D270" s="1">
        <v>44111</v>
      </c>
      <c r="E270">
        <v>113634</v>
      </c>
    </row>
    <row r="271" spans="1:7" x14ac:dyDescent="0.25">
      <c r="A271">
        <v>4012</v>
      </c>
      <c r="B271" t="s">
        <v>72</v>
      </c>
      <c r="C271" s="1">
        <v>44112</v>
      </c>
      <c r="D271" s="1">
        <v>44433</v>
      </c>
      <c r="E271">
        <v>113643</v>
      </c>
    </row>
    <row r="272" spans="1:7" x14ac:dyDescent="0.25">
      <c r="A272">
        <v>4012</v>
      </c>
      <c r="B272" t="s">
        <v>72</v>
      </c>
      <c r="C272" s="1">
        <v>44434</v>
      </c>
      <c r="D272" s="1">
        <v>44826</v>
      </c>
      <c r="E272">
        <v>113557</v>
      </c>
      <c r="F272">
        <v>56549</v>
      </c>
      <c r="G272">
        <v>57008</v>
      </c>
    </row>
    <row r="273" spans="1:7" x14ac:dyDescent="0.25">
      <c r="A273">
        <v>4012</v>
      </c>
      <c r="B273" t="s">
        <v>72</v>
      </c>
      <c r="C273" s="1">
        <v>44827</v>
      </c>
      <c r="D273" s="1">
        <v>117974</v>
      </c>
      <c r="E273">
        <v>113173</v>
      </c>
      <c r="F273">
        <v>56234</v>
      </c>
      <c r="G273">
        <v>56939</v>
      </c>
    </row>
    <row r="274" spans="1:7" x14ac:dyDescent="0.25">
      <c r="A274">
        <v>5</v>
      </c>
      <c r="B274" t="s">
        <v>73</v>
      </c>
      <c r="C274" s="1">
        <v>43831</v>
      </c>
      <c r="D274" s="1">
        <v>44111</v>
      </c>
      <c r="E274">
        <v>17932651</v>
      </c>
    </row>
    <row r="275" spans="1:7" x14ac:dyDescent="0.25">
      <c r="A275">
        <v>5</v>
      </c>
      <c r="B275" t="s">
        <v>73</v>
      </c>
      <c r="C275" s="1">
        <v>44112</v>
      </c>
      <c r="D275" s="1">
        <v>44433</v>
      </c>
      <c r="E275">
        <v>17947221</v>
      </c>
    </row>
    <row r="276" spans="1:7" x14ac:dyDescent="0.25">
      <c r="A276">
        <v>5</v>
      </c>
      <c r="B276" t="s">
        <v>73</v>
      </c>
      <c r="C276" s="1">
        <v>44434</v>
      </c>
      <c r="D276" s="1">
        <v>44826</v>
      </c>
      <c r="E276">
        <v>17925570</v>
      </c>
      <c r="F276">
        <v>8794888</v>
      </c>
      <c r="G276">
        <v>9130682</v>
      </c>
    </row>
    <row r="277" spans="1:7" x14ac:dyDescent="0.25">
      <c r="A277">
        <v>5</v>
      </c>
      <c r="B277" t="s">
        <v>73</v>
      </c>
      <c r="C277" s="1">
        <v>44827</v>
      </c>
      <c r="D277" s="1">
        <v>117974</v>
      </c>
      <c r="E277">
        <v>17924591</v>
      </c>
      <c r="F277">
        <v>8795533</v>
      </c>
      <c r="G277">
        <v>9129058</v>
      </c>
    </row>
    <row r="278" spans="1:7" x14ac:dyDescent="0.25">
      <c r="A278">
        <v>5111</v>
      </c>
      <c r="B278" t="s">
        <v>74</v>
      </c>
      <c r="C278" s="1">
        <v>43831</v>
      </c>
      <c r="D278" s="1">
        <v>44111</v>
      </c>
      <c r="E278">
        <v>619294</v>
      </c>
    </row>
    <row r="279" spans="1:7" x14ac:dyDescent="0.25">
      <c r="A279">
        <v>5111</v>
      </c>
      <c r="B279" t="s">
        <v>74</v>
      </c>
      <c r="C279" s="1">
        <v>44112</v>
      </c>
      <c r="D279" s="1">
        <v>44433</v>
      </c>
      <c r="E279">
        <v>621877</v>
      </c>
    </row>
    <row r="280" spans="1:7" x14ac:dyDescent="0.25">
      <c r="A280">
        <v>5111</v>
      </c>
      <c r="B280" t="s">
        <v>74</v>
      </c>
      <c r="C280" s="1">
        <v>44434</v>
      </c>
      <c r="D280" s="1">
        <v>44826</v>
      </c>
      <c r="E280">
        <v>620523</v>
      </c>
      <c r="F280">
        <v>299975</v>
      </c>
      <c r="G280">
        <v>320548</v>
      </c>
    </row>
    <row r="281" spans="1:7" x14ac:dyDescent="0.25">
      <c r="A281">
        <v>5111</v>
      </c>
      <c r="B281" t="s">
        <v>74</v>
      </c>
      <c r="C281" s="1">
        <v>44827</v>
      </c>
      <c r="D281" s="1">
        <v>117974</v>
      </c>
      <c r="E281">
        <v>619477</v>
      </c>
      <c r="F281">
        <v>299583</v>
      </c>
      <c r="G281">
        <v>319894</v>
      </c>
    </row>
    <row r="282" spans="1:7" x14ac:dyDescent="0.25">
      <c r="A282">
        <v>5112</v>
      </c>
      <c r="B282" t="s">
        <v>75</v>
      </c>
      <c r="C282" s="1">
        <v>43831</v>
      </c>
      <c r="D282" s="1">
        <v>44111</v>
      </c>
      <c r="E282">
        <v>498590</v>
      </c>
    </row>
    <row r="283" spans="1:7" x14ac:dyDescent="0.25">
      <c r="A283">
        <v>5112</v>
      </c>
      <c r="B283" t="s">
        <v>75</v>
      </c>
      <c r="C283" s="1">
        <v>44112</v>
      </c>
      <c r="D283" s="1">
        <v>44433</v>
      </c>
      <c r="E283">
        <v>498686</v>
      </c>
    </row>
    <row r="284" spans="1:7" x14ac:dyDescent="0.25">
      <c r="A284">
        <v>5112</v>
      </c>
      <c r="B284" t="s">
        <v>75</v>
      </c>
      <c r="C284" s="1">
        <v>44434</v>
      </c>
      <c r="D284" s="1">
        <v>44826</v>
      </c>
      <c r="E284">
        <v>495885</v>
      </c>
      <c r="F284">
        <v>245244</v>
      </c>
      <c r="G284">
        <v>250641</v>
      </c>
    </row>
    <row r="285" spans="1:7" x14ac:dyDescent="0.25">
      <c r="A285">
        <v>5112</v>
      </c>
      <c r="B285" t="s">
        <v>75</v>
      </c>
      <c r="C285" s="1">
        <v>44827</v>
      </c>
      <c r="D285" s="1">
        <v>117974</v>
      </c>
      <c r="E285">
        <v>495152</v>
      </c>
      <c r="F285">
        <v>244716</v>
      </c>
      <c r="G285">
        <v>250436</v>
      </c>
    </row>
    <row r="286" spans="1:7" x14ac:dyDescent="0.25">
      <c r="A286">
        <v>5113</v>
      </c>
      <c r="B286" t="s">
        <v>76</v>
      </c>
      <c r="C286" s="1">
        <v>43831</v>
      </c>
      <c r="D286" s="1">
        <v>44111</v>
      </c>
      <c r="E286">
        <v>583109</v>
      </c>
    </row>
    <row r="287" spans="1:7" x14ac:dyDescent="0.25">
      <c r="A287">
        <v>5113</v>
      </c>
      <c r="B287" t="s">
        <v>76</v>
      </c>
      <c r="C287" s="1">
        <v>44112</v>
      </c>
      <c r="D287" s="1">
        <v>44433</v>
      </c>
      <c r="E287">
        <v>582760</v>
      </c>
    </row>
    <row r="288" spans="1:7" x14ac:dyDescent="0.25">
      <c r="A288">
        <v>5113</v>
      </c>
      <c r="B288" t="s">
        <v>76</v>
      </c>
      <c r="C288" s="1">
        <v>44434</v>
      </c>
      <c r="D288" s="1">
        <v>44826</v>
      </c>
      <c r="E288">
        <v>582415</v>
      </c>
      <c r="F288">
        <v>283169</v>
      </c>
      <c r="G288">
        <v>299246</v>
      </c>
    </row>
    <row r="289" spans="1:7" x14ac:dyDescent="0.25">
      <c r="A289">
        <v>5113</v>
      </c>
      <c r="B289" t="s">
        <v>76</v>
      </c>
      <c r="C289" s="1">
        <v>44827</v>
      </c>
      <c r="D289" s="1">
        <v>117974</v>
      </c>
      <c r="E289">
        <v>579432</v>
      </c>
      <c r="F289">
        <v>281991</v>
      </c>
      <c r="G289">
        <v>297441</v>
      </c>
    </row>
    <row r="290" spans="1:7" x14ac:dyDescent="0.25">
      <c r="A290">
        <v>5114</v>
      </c>
      <c r="B290" t="s">
        <v>77</v>
      </c>
      <c r="C290" s="1">
        <v>43831</v>
      </c>
      <c r="D290" s="1">
        <v>44111</v>
      </c>
      <c r="E290">
        <v>227020</v>
      </c>
    </row>
    <row r="291" spans="1:7" x14ac:dyDescent="0.25">
      <c r="A291">
        <v>5114</v>
      </c>
      <c r="B291" t="s">
        <v>77</v>
      </c>
      <c r="C291" s="1">
        <v>44112</v>
      </c>
      <c r="D291" s="1">
        <v>44433</v>
      </c>
      <c r="E291">
        <v>227417</v>
      </c>
    </row>
    <row r="292" spans="1:7" x14ac:dyDescent="0.25">
      <c r="A292">
        <v>5114</v>
      </c>
      <c r="B292" t="s">
        <v>77</v>
      </c>
      <c r="C292" s="1">
        <v>44434</v>
      </c>
      <c r="D292" s="1">
        <v>44826</v>
      </c>
      <c r="E292">
        <v>226844</v>
      </c>
      <c r="F292">
        <v>110704</v>
      </c>
      <c r="G292">
        <v>116140</v>
      </c>
    </row>
    <row r="293" spans="1:7" x14ac:dyDescent="0.25">
      <c r="A293">
        <v>5114</v>
      </c>
      <c r="B293" t="s">
        <v>77</v>
      </c>
      <c r="C293" s="1">
        <v>44827</v>
      </c>
      <c r="D293" s="1">
        <v>117974</v>
      </c>
      <c r="E293">
        <v>227050</v>
      </c>
      <c r="F293">
        <v>110842</v>
      </c>
      <c r="G293">
        <v>116208</v>
      </c>
    </row>
    <row r="294" spans="1:7" x14ac:dyDescent="0.25">
      <c r="A294">
        <v>5116</v>
      </c>
      <c r="B294" t="s">
        <v>78</v>
      </c>
      <c r="C294" s="1">
        <v>43831</v>
      </c>
      <c r="D294" s="1">
        <v>44111</v>
      </c>
      <c r="E294">
        <v>261454</v>
      </c>
    </row>
    <row r="295" spans="1:7" x14ac:dyDescent="0.25">
      <c r="A295">
        <v>5116</v>
      </c>
      <c r="B295" t="s">
        <v>78</v>
      </c>
      <c r="C295" s="1">
        <v>44112</v>
      </c>
      <c r="D295" s="1">
        <v>44433</v>
      </c>
      <c r="E295">
        <v>261034</v>
      </c>
    </row>
    <row r="296" spans="1:7" x14ac:dyDescent="0.25">
      <c r="A296">
        <v>5116</v>
      </c>
      <c r="B296" t="s">
        <v>78</v>
      </c>
      <c r="C296" s="1">
        <v>44434</v>
      </c>
      <c r="D296" s="1">
        <v>44826</v>
      </c>
      <c r="E296">
        <v>259665</v>
      </c>
      <c r="F296">
        <v>127911</v>
      </c>
      <c r="G296">
        <v>131754</v>
      </c>
    </row>
    <row r="297" spans="1:7" x14ac:dyDescent="0.25">
      <c r="A297">
        <v>5116</v>
      </c>
      <c r="B297" t="s">
        <v>78</v>
      </c>
      <c r="C297" s="1">
        <v>44827</v>
      </c>
      <c r="D297" s="1">
        <v>117974</v>
      </c>
      <c r="E297">
        <v>261001</v>
      </c>
      <c r="F297">
        <v>128999</v>
      </c>
      <c r="G297">
        <v>132002</v>
      </c>
    </row>
    <row r="298" spans="1:7" x14ac:dyDescent="0.25">
      <c r="A298">
        <v>5117</v>
      </c>
      <c r="B298" t="s">
        <v>79</v>
      </c>
      <c r="C298" s="1">
        <v>43831</v>
      </c>
      <c r="D298" s="1">
        <v>44111</v>
      </c>
      <c r="E298">
        <v>170880</v>
      </c>
    </row>
    <row r="299" spans="1:7" x14ac:dyDescent="0.25">
      <c r="A299">
        <v>5117</v>
      </c>
      <c r="B299" t="s">
        <v>79</v>
      </c>
      <c r="C299" s="1">
        <v>44112</v>
      </c>
      <c r="D299" s="1">
        <v>44433</v>
      </c>
      <c r="E299">
        <v>170632</v>
      </c>
    </row>
    <row r="300" spans="1:7" x14ac:dyDescent="0.25">
      <c r="A300">
        <v>5117</v>
      </c>
      <c r="B300" t="s">
        <v>79</v>
      </c>
      <c r="C300" s="1">
        <v>44434</v>
      </c>
      <c r="D300" s="1">
        <v>44826</v>
      </c>
      <c r="E300">
        <v>170921</v>
      </c>
      <c r="F300">
        <v>82409</v>
      </c>
      <c r="G300">
        <v>88512</v>
      </c>
    </row>
    <row r="301" spans="1:7" x14ac:dyDescent="0.25">
      <c r="A301">
        <v>5117</v>
      </c>
      <c r="B301" t="s">
        <v>79</v>
      </c>
      <c r="C301" s="1">
        <v>44827</v>
      </c>
      <c r="D301" s="1">
        <v>117974</v>
      </c>
      <c r="E301">
        <v>170739</v>
      </c>
      <c r="F301">
        <v>82415</v>
      </c>
      <c r="G301">
        <v>88324</v>
      </c>
    </row>
    <row r="302" spans="1:7" x14ac:dyDescent="0.25">
      <c r="A302">
        <v>5119</v>
      </c>
      <c r="B302" t="s">
        <v>80</v>
      </c>
      <c r="C302" s="1">
        <v>43831</v>
      </c>
      <c r="D302" s="1">
        <v>44111</v>
      </c>
      <c r="E302">
        <v>210829</v>
      </c>
    </row>
    <row r="303" spans="1:7" x14ac:dyDescent="0.25">
      <c r="A303">
        <v>5119</v>
      </c>
      <c r="B303" t="s">
        <v>80</v>
      </c>
      <c r="C303" s="1">
        <v>44112</v>
      </c>
      <c r="D303" s="1">
        <v>44433</v>
      </c>
      <c r="E303">
        <v>210764</v>
      </c>
    </row>
    <row r="304" spans="1:7" x14ac:dyDescent="0.25">
      <c r="A304">
        <v>5119</v>
      </c>
      <c r="B304" t="s">
        <v>80</v>
      </c>
      <c r="C304" s="1">
        <v>44434</v>
      </c>
      <c r="D304" s="1">
        <v>44826</v>
      </c>
      <c r="E304">
        <v>209566</v>
      </c>
      <c r="F304">
        <v>102819</v>
      </c>
      <c r="G304">
        <v>106747</v>
      </c>
    </row>
    <row r="305" spans="1:7" x14ac:dyDescent="0.25">
      <c r="A305">
        <v>5119</v>
      </c>
      <c r="B305" t="s">
        <v>80</v>
      </c>
      <c r="C305" s="1">
        <v>44827</v>
      </c>
      <c r="D305" s="1">
        <v>117974</v>
      </c>
      <c r="E305">
        <v>208752</v>
      </c>
      <c r="F305">
        <v>102310</v>
      </c>
      <c r="G305">
        <v>106442</v>
      </c>
    </row>
    <row r="306" spans="1:7" x14ac:dyDescent="0.25">
      <c r="A306">
        <v>5120</v>
      </c>
      <c r="B306" t="s">
        <v>81</v>
      </c>
      <c r="C306" s="1">
        <v>43831</v>
      </c>
      <c r="D306" s="1">
        <v>44111</v>
      </c>
      <c r="E306">
        <v>110994</v>
      </c>
    </row>
    <row r="307" spans="1:7" x14ac:dyDescent="0.25">
      <c r="A307">
        <v>5120</v>
      </c>
      <c r="B307" t="s">
        <v>81</v>
      </c>
      <c r="C307" s="1">
        <v>44112</v>
      </c>
      <c r="D307" s="1">
        <v>44433</v>
      </c>
      <c r="E307">
        <v>111338</v>
      </c>
    </row>
    <row r="308" spans="1:7" x14ac:dyDescent="0.25">
      <c r="A308">
        <v>5120</v>
      </c>
      <c r="B308" t="s">
        <v>81</v>
      </c>
      <c r="C308" s="1">
        <v>44434</v>
      </c>
      <c r="D308" s="1">
        <v>44826</v>
      </c>
      <c r="E308">
        <v>111516</v>
      </c>
      <c r="F308">
        <v>55161</v>
      </c>
      <c r="G308">
        <v>56355</v>
      </c>
    </row>
    <row r="309" spans="1:7" x14ac:dyDescent="0.25">
      <c r="A309">
        <v>5120</v>
      </c>
      <c r="B309" t="s">
        <v>81</v>
      </c>
      <c r="C309" s="1">
        <v>44827</v>
      </c>
      <c r="D309" s="1">
        <v>117974</v>
      </c>
      <c r="E309">
        <v>111770</v>
      </c>
      <c r="F309">
        <v>55418</v>
      </c>
      <c r="G309">
        <v>56352</v>
      </c>
    </row>
    <row r="310" spans="1:7" x14ac:dyDescent="0.25">
      <c r="A310">
        <v>5122</v>
      </c>
      <c r="B310" t="s">
        <v>82</v>
      </c>
      <c r="C310" s="1">
        <v>43831</v>
      </c>
      <c r="D310" s="1">
        <v>44111</v>
      </c>
      <c r="E310">
        <v>159360</v>
      </c>
    </row>
    <row r="311" spans="1:7" x14ac:dyDescent="0.25">
      <c r="A311">
        <v>5122</v>
      </c>
      <c r="B311" t="s">
        <v>82</v>
      </c>
      <c r="C311" s="1">
        <v>44112</v>
      </c>
      <c r="D311" s="1">
        <v>44433</v>
      </c>
      <c r="E311">
        <v>159245</v>
      </c>
    </row>
    <row r="312" spans="1:7" x14ac:dyDescent="0.25">
      <c r="A312">
        <v>5122</v>
      </c>
      <c r="B312" t="s">
        <v>82</v>
      </c>
      <c r="C312" s="1">
        <v>44434</v>
      </c>
      <c r="D312" s="1">
        <v>44826</v>
      </c>
      <c r="E312">
        <v>159193</v>
      </c>
      <c r="F312">
        <v>77284</v>
      </c>
      <c r="G312">
        <v>81909</v>
      </c>
    </row>
    <row r="313" spans="1:7" x14ac:dyDescent="0.25">
      <c r="A313">
        <v>5122</v>
      </c>
      <c r="B313" t="s">
        <v>82</v>
      </c>
      <c r="C313" s="1">
        <v>44827</v>
      </c>
      <c r="D313" s="1">
        <v>117974</v>
      </c>
      <c r="E313">
        <v>158957</v>
      </c>
      <c r="F313">
        <v>77260</v>
      </c>
      <c r="G313">
        <v>81697</v>
      </c>
    </row>
    <row r="314" spans="1:7" x14ac:dyDescent="0.25">
      <c r="A314">
        <v>5124</v>
      </c>
      <c r="B314" t="s">
        <v>83</v>
      </c>
      <c r="C314" s="1">
        <v>43831</v>
      </c>
      <c r="D314" s="1">
        <v>44111</v>
      </c>
      <c r="E314">
        <v>354382</v>
      </c>
    </row>
    <row r="315" spans="1:7" x14ac:dyDescent="0.25">
      <c r="A315">
        <v>5124</v>
      </c>
      <c r="B315" t="s">
        <v>83</v>
      </c>
      <c r="C315" s="1">
        <v>44112</v>
      </c>
      <c r="D315" s="1">
        <v>44433</v>
      </c>
      <c r="E315">
        <v>355100</v>
      </c>
    </row>
    <row r="316" spans="1:7" x14ac:dyDescent="0.25">
      <c r="A316">
        <v>5124</v>
      </c>
      <c r="B316" t="s">
        <v>83</v>
      </c>
      <c r="C316" s="1">
        <v>44434</v>
      </c>
      <c r="D316" s="1">
        <v>44826</v>
      </c>
      <c r="E316">
        <v>355004</v>
      </c>
      <c r="F316">
        <v>174191</v>
      </c>
      <c r="G316">
        <v>180813</v>
      </c>
    </row>
    <row r="317" spans="1:7" x14ac:dyDescent="0.25">
      <c r="A317">
        <v>5124</v>
      </c>
      <c r="B317" t="s">
        <v>83</v>
      </c>
      <c r="C317" s="1">
        <v>44827</v>
      </c>
      <c r="D317" s="1">
        <v>117974</v>
      </c>
      <c r="E317">
        <v>354572</v>
      </c>
      <c r="F317">
        <v>174102</v>
      </c>
      <c r="G317">
        <v>180470</v>
      </c>
    </row>
    <row r="318" spans="1:7" x14ac:dyDescent="0.25">
      <c r="A318">
        <v>5154</v>
      </c>
      <c r="B318" t="s">
        <v>84</v>
      </c>
      <c r="C318" s="1">
        <v>43831</v>
      </c>
      <c r="D318" s="1">
        <v>44111</v>
      </c>
      <c r="E318">
        <v>310974</v>
      </c>
    </row>
    <row r="319" spans="1:7" x14ac:dyDescent="0.25">
      <c r="A319">
        <v>5154</v>
      </c>
      <c r="B319" t="s">
        <v>84</v>
      </c>
      <c r="C319" s="1">
        <v>44112</v>
      </c>
      <c r="D319" s="1">
        <v>44433</v>
      </c>
      <c r="E319">
        <v>312465</v>
      </c>
    </row>
    <row r="320" spans="1:7" x14ac:dyDescent="0.25">
      <c r="A320">
        <v>5154</v>
      </c>
      <c r="B320" t="s">
        <v>84</v>
      </c>
      <c r="C320" s="1">
        <v>44434</v>
      </c>
      <c r="D320" s="1">
        <v>44826</v>
      </c>
      <c r="E320">
        <v>313586</v>
      </c>
      <c r="F320">
        <v>156201</v>
      </c>
      <c r="G320">
        <v>157385</v>
      </c>
    </row>
    <row r="321" spans="1:7" x14ac:dyDescent="0.25">
      <c r="A321">
        <v>5154</v>
      </c>
      <c r="B321" t="s">
        <v>84</v>
      </c>
      <c r="C321" s="1">
        <v>44827</v>
      </c>
      <c r="D321" s="1">
        <v>117974</v>
      </c>
      <c r="E321">
        <v>314676</v>
      </c>
      <c r="F321">
        <v>156754</v>
      </c>
      <c r="G321">
        <v>157922</v>
      </c>
    </row>
    <row r="322" spans="1:7" x14ac:dyDescent="0.25">
      <c r="A322">
        <v>5158</v>
      </c>
      <c r="B322" t="s">
        <v>85</v>
      </c>
      <c r="C322" s="1">
        <v>43831</v>
      </c>
      <c r="D322" s="1">
        <v>44111</v>
      </c>
      <c r="E322">
        <v>485684</v>
      </c>
    </row>
    <row r="323" spans="1:7" x14ac:dyDescent="0.25">
      <c r="A323">
        <v>5158</v>
      </c>
      <c r="B323" t="s">
        <v>85</v>
      </c>
      <c r="C323" s="1">
        <v>44112</v>
      </c>
      <c r="D323" s="1">
        <v>44433</v>
      </c>
      <c r="E323">
        <v>485570</v>
      </c>
    </row>
    <row r="324" spans="1:7" x14ac:dyDescent="0.25">
      <c r="A324">
        <v>5158</v>
      </c>
      <c r="B324" t="s">
        <v>85</v>
      </c>
      <c r="C324" s="1">
        <v>44434</v>
      </c>
      <c r="D324" s="1">
        <v>44826</v>
      </c>
      <c r="E324">
        <v>484322</v>
      </c>
      <c r="F324">
        <v>233949</v>
      </c>
      <c r="G324">
        <v>250373</v>
      </c>
    </row>
    <row r="325" spans="1:7" x14ac:dyDescent="0.25">
      <c r="A325">
        <v>5158</v>
      </c>
      <c r="B325" t="s">
        <v>85</v>
      </c>
      <c r="C325" s="1">
        <v>44827</v>
      </c>
      <c r="D325" s="1">
        <v>117974</v>
      </c>
      <c r="E325">
        <v>484411</v>
      </c>
      <c r="F325">
        <v>233965</v>
      </c>
      <c r="G325">
        <v>250446</v>
      </c>
    </row>
    <row r="326" spans="1:7" x14ac:dyDescent="0.25">
      <c r="A326">
        <v>5162</v>
      </c>
      <c r="B326" t="s">
        <v>86</v>
      </c>
      <c r="C326" s="1">
        <v>43831</v>
      </c>
      <c r="D326" s="1">
        <v>44111</v>
      </c>
      <c r="E326">
        <v>451007</v>
      </c>
    </row>
    <row r="327" spans="1:7" x14ac:dyDescent="0.25">
      <c r="A327">
        <v>5162</v>
      </c>
      <c r="B327" t="s">
        <v>86</v>
      </c>
      <c r="C327" s="1">
        <v>44112</v>
      </c>
      <c r="D327" s="1">
        <v>44433</v>
      </c>
      <c r="E327">
        <v>451730</v>
      </c>
    </row>
    <row r="328" spans="1:7" x14ac:dyDescent="0.25">
      <c r="A328">
        <v>5162</v>
      </c>
      <c r="B328" t="s">
        <v>86</v>
      </c>
      <c r="C328" s="1">
        <v>44434</v>
      </c>
      <c r="D328" s="1">
        <v>44826</v>
      </c>
      <c r="E328">
        <v>452001</v>
      </c>
      <c r="F328">
        <v>219655</v>
      </c>
      <c r="G328">
        <v>232346</v>
      </c>
    </row>
    <row r="329" spans="1:7" x14ac:dyDescent="0.25">
      <c r="A329">
        <v>5162</v>
      </c>
      <c r="B329" t="s">
        <v>86</v>
      </c>
      <c r="C329" s="1">
        <v>44827</v>
      </c>
      <c r="D329" s="1">
        <v>117974</v>
      </c>
      <c r="E329">
        <v>452496</v>
      </c>
      <c r="F329">
        <v>219835</v>
      </c>
      <c r="G329">
        <v>232661</v>
      </c>
    </row>
    <row r="330" spans="1:7" x14ac:dyDescent="0.25">
      <c r="A330">
        <v>5166</v>
      </c>
      <c r="B330" t="s">
        <v>87</v>
      </c>
      <c r="C330" s="1">
        <v>43831</v>
      </c>
      <c r="D330" s="1">
        <v>44111</v>
      </c>
      <c r="E330">
        <v>298935</v>
      </c>
    </row>
    <row r="331" spans="1:7" x14ac:dyDescent="0.25">
      <c r="A331">
        <v>5166</v>
      </c>
      <c r="B331" t="s">
        <v>87</v>
      </c>
      <c r="C331" s="1">
        <v>44112</v>
      </c>
      <c r="D331" s="1">
        <v>44433</v>
      </c>
      <c r="E331">
        <v>298863</v>
      </c>
    </row>
    <row r="332" spans="1:7" x14ac:dyDescent="0.25">
      <c r="A332">
        <v>5166</v>
      </c>
      <c r="B332" t="s">
        <v>87</v>
      </c>
      <c r="C332" s="1">
        <v>44434</v>
      </c>
      <c r="D332" s="1">
        <v>44826</v>
      </c>
      <c r="E332">
        <v>298536</v>
      </c>
      <c r="F332">
        <v>145652</v>
      </c>
      <c r="G332">
        <v>152884</v>
      </c>
    </row>
    <row r="333" spans="1:7" x14ac:dyDescent="0.25">
      <c r="A333">
        <v>5166</v>
      </c>
      <c r="B333" t="s">
        <v>87</v>
      </c>
      <c r="C333" s="1">
        <v>44827</v>
      </c>
      <c r="D333" s="1">
        <v>117974</v>
      </c>
      <c r="E333">
        <v>298761</v>
      </c>
      <c r="F333">
        <v>145746</v>
      </c>
      <c r="G333">
        <v>153015</v>
      </c>
    </row>
    <row r="334" spans="1:7" x14ac:dyDescent="0.25">
      <c r="A334">
        <v>5170</v>
      </c>
      <c r="B334" t="s">
        <v>88</v>
      </c>
      <c r="C334" s="1">
        <v>43831</v>
      </c>
      <c r="D334" s="1">
        <v>44111</v>
      </c>
      <c r="E334">
        <v>459809</v>
      </c>
    </row>
    <row r="335" spans="1:7" x14ac:dyDescent="0.25">
      <c r="A335">
        <v>5170</v>
      </c>
      <c r="B335" t="s">
        <v>88</v>
      </c>
      <c r="C335" s="1">
        <v>44112</v>
      </c>
      <c r="D335" s="1">
        <v>44433</v>
      </c>
      <c r="E335">
        <v>459976</v>
      </c>
    </row>
    <row r="336" spans="1:7" x14ac:dyDescent="0.25">
      <c r="A336">
        <v>5170</v>
      </c>
      <c r="B336" t="s">
        <v>88</v>
      </c>
      <c r="C336" s="1">
        <v>44434</v>
      </c>
      <c r="D336" s="1">
        <v>44826</v>
      </c>
      <c r="E336">
        <v>460113</v>
      </c>
      <c r="F336">
        <v>223910</v>
      </c>
      <c r="G336">
        <v>236203</v>
      </c>
    </row>
    <row r="337" spans="1:7" x14ac:dyDescent="0.25">
      <c r="A337">
        <v>5170</v>
      </c>
      <c r="B337" t="s">
        <v>88</v>
      </c>
      <c r="C337" s="1">
        <v>44827</v>
      </c>
      <c r="D337" s="1">
        <v>117974</v>
      </c>
      <c r="E337">
        <v>460433</v>
      </c>
      <c r="F337">
        <v>224189</v>
      </c>
      <c r="G337">
        <v>236244</v>
      </c>
    </row>
    <row r="338" spans="1:7" x14ac:dyDescent="0.25">
      <c r="A338">
        <v>5314</v>
      </c>
      <c r="B338" t="s">
        <v>89</v>
      </c>
      <c r="C338" s="1">
        <v>43831</v>
      </c>
      <c r="D338" s="1">
        <v>44111</v>
      </c>
      <c r="E338">
        <v>327258</v>
      </c>
    </row>
    <row r="339" spans="1:7" x14ac:dyDescent="0.25">
      <c r="A339">
        <v>5314</v>
      </c>
      <c r="B339" t="s">
        <v>89</v>
      </c>
      <c r="C339" s="1">
        <v>44112</v>
      </c>
      <c r="D339" s="1">
        <v>44433</v>
      </c>
      <c r="E339">
        <v>329673</v>
      </c>
    </row>
    <row r="340" spans="1:7" x14ac:dyDescent="0.25">
      <c r="A340">
        <v>5314</v>
      </c>
      <c r="B340" t="s">
        <v>89</v>
      </c>
      <c r="C340" s="1">
        <v>44434</v>
      </c>
      <c r="D340" s="1">
        <v>44826</v>
      </c>
      <c r="E340">
        <v>330579</v>
      </c>
      <c r="F340">
        <v>158190</v>
      </c>
      <c r="G340">
        <v>172389</v>
      </c>
    </row>
    <row r="341" spans="1:7" x14ac:dyDescent="0.25">
      <c r="A341">
        <v>5314</v>
      </c>
      <c r="B341" t="s">
        <v>89</v>
      </c>
      <c r="C341" s="1">
        <v>44827</v>
      </c>
      <c r="D341" s="1">
        <v>117974</v>
      </c>
      <c r="E341">
        <v>331885</v>
      </c>
      <c r="F341">
        <v>158645</v>
      </c>
      <c r="G341">
        <v>173240</v>
      </c>
    </row>
    <row r="342" spans="1:7" x14ac:dyDescent="0.25">
      <c r="A342">
        <v>5315</v>
      </c>
      <c r="B342" t="s">
        <v>90</v>
      </c>
      <c r="C342" s="1">
        <v>43831</v>
      </c>
      <c r="D342" s="1">
        <v>44111</v>
      </c>
      <c r="E342">
        <v>1085664</v>
      </c>
    </row>
    <row r="343" spans="1:7" x14ac:dyDescent="0.25">
      <c r="A343">
        <v>5315</v>
      </c>
      <c r="B343" t="s">
        <v>90</v>
      </c>
      <c r="C343" s="1">
        <v>44112</v>
      </c>
      <c r="D343" s="1">
        <v>44433</v>
      </c>
      <c r="E343">
        <v>1087863</v>
      </c>
    </row>
    <row r="344" spans="1:7" x14ac:dyDescent="0.25">
      <c r="A344">
        <v>5315</v>
      </c>
      <c r="B344" t="s">
        <v>90</v>
      </c>
      <c r="C344" s="1">
        <v>44434</v>
      </c>
      <c r="D344" s="1">
        <v>44826</v>
      </c>
      <c r="E344">
        <v>1083498</v>
      </c>
      <c r="F344">
        <v>528075</v>
      </c>
      <c r="G344">
        <v>555423</v>
      </c>
    </row>
    <row r="345" spans="1:7" x14ac:dyDescent="0.25">
      <c r="A345">
        <v>5315</v>
      </c>
      <c r="B345" t="s">
        <v>90</v>
      </c>
      <c r="C345" s="1">
        <v>44827</v>
      </c>
      <c r="D345" s="1">
        <v>117974</v>
      </c>
      <c r="E345">
        <v>1073096</v>
      </c>
      <c r="F345">
        <v>521939</v>
      </c>
      <c r="G345">
        <v>551157</v>
      </c>
    </row>
    <row r="346" spans="1:7" x14ac:dyDescent="0.25">
      <c r="A346">
        <v>5316</v>
      </c>
      <c r="B346" t="s">
        <v>91</v>
      </c>
      <c r="C346" s="1">
        <v>43831</v>
      </c>
      <c r="D346" s="1">
        <v>44111</v>
      </c>
      <c r="E346">
        <v>163838</v>
      </c>
    </row>
    <row r="347" spans="1:7" x14ac:dyDescent="0.25">
      <c r="A347">
        <v>5316</v>
      </c>
      <c r="B347" t="s">
        <v>91</v>
      </c>
      <c r="C347" s="1">
        <v>44112</v>
      </c>
      <c r="D347" s="1">
        <v>44433</v>
      </c>
      <c r="E347">
        <v>163729</v>
      </c>
    </row>
    <row r="348" spans="1:7" x14ac:dyDescent="0.25">
      <c r="A348">
        <v>5316</v>
      </c>
      <c r="B348" t="s">
        <v>91</v>
      </c>
      <c r="C348" s="1">
        <v>44434</v>
      </c>
      <c r="D348" s="1">
        <v>44826</v>
      </c>
      <c r="E348">
        <v>163905</v>
      </c>
      <c r="F348">
        <v>79839</v>
      </c>
      <c r="G348">
        <v>84066</v>
      </c>
    </row>
    <row r="349" spans="1:7" x14ac:dyDescent="0.25">
      <c r="A349">
        <v>5316</v>
      </c>
      <c r="B349" t="s">
        <v>91</v>
      </c>
      <c r="C349" s="1">
        <v>44827</v>
      </c>
      <c r="D349" s="1">
        <v>117974</v>
      </c>
      <c r="E349">
        <v>163851</v>
      </c>
      <c r="F349">
        <v>79886</v>
      </c>
      <c r="G349">
        <v>83965</v>
      </c>
    </row>
    <row r="350" spans="1:7" x14ac:dyDescent="0.25">
      <c r="A350">
        <v>5334</v>
      </c>
      <c r="B350" t="s">
        <v>92</v>
      </c>
      <c r="C350" s="1">
        <v>43831</v>
      </c>
      <c r="D350" s="1">
        <v>44111</v>
      </c>
      <c r="E350">
        <v>555465</v>
      </c>
    </row>
    <row r="351" spans="1:7" x14ac:dyDescent="0.25">
      <c r="A351">
        <v>5334</v>
      </c>
      <c r="B351" t="s">
        <v>92</v>
      </c>
      <c r="C351" s="1">
        <v>44112</v>
      </c>
      <c r="D351" s="1">
        <v>44433</v>
      </c>
      <c r="E351">
        <v>557026</v>
      </c>
    </row>
    <row r="352" spans="1:7" x14ac:dyDescent="0.25">
      <c r="A352">
        <v>5334</v>
      </c>
      <c r="B352" t="s">
        <v>92</v>
      </c>
      <c r="C352" s="1">
        <v>44434</v>
      </c>
      <c r="D352" s="1">
        <v>44826</v>
      </c>
      <c r="E352">
        <v>556631</v>
      </c>
      <c r="F352">
        <v>281103</v>
      </c>
      <c r="G352">
        <v>275528</v>
      </c>
    </row>
    <row r="353" spans="1:7" x14ac:dyDescent="0.25">
      <c r="A353">
        <v>5334</v>
      </c>
      <c r="B353" t="s">
        <v>92</v>
      </c>
      <c r="C353" s="1">
        <v>44827</v>
      </c>
      <c r="D353" s="1">
        <v>117974</v>
      </c>
      <c r="E353">
        <v>556673</v>
      </c>
      <c r="F353">
        <v>281248</v>
      </c>
      <c r="G353">
        <v>275425</v>
      </c>
    </row>
    <row r="354" spans="1:7" x14ac:dyDescent="0.25">
      <c r="A354">
        <v>5358</v>
      </c>
      <c r="B354" t="s">
        <v>93</v>
      </c>
      <c r="C354" s="1">
        <v>43831</v>
      </c>
      <c r="D354" s="1">
        <v>44111</v>
      </c>
      <c r="E354">
        <v>263722</v>
      </c>
    </row>
    <row r="355" spans="1:7" x14ac:dyDescent="0.25">
      <c r="A355">
        <v>5358</v>
      </c>
      <c r="B355" t="s">
        <v>93</v>
      </c>
      <c r="C355" s="1">
        <v>44112</v>
      </c>
      <c r="D355" s="1">
        <v>44433</v>
      </c>
      <c r="E355">
        <v>264638</v>
      </c>
    </row>
    <row r="356" spans="1:7" x14ac:dyDescent="0.25">
      <c r="A356">
        <v>5358</v>
      </c>
      <c r="B356" t="s">
        <v>93</v>
      </c>
      <c r="C356" s="1">
        <v>44434</v>
      </c>
      <c r="D356" s="1">
        <v>44826</v>
      </c>
      <c r="E356">
        <v>265140</v>
      </c>
      <c r="F356">
        <v>131459</v>
      </c>
      <c r="G356">
        <v>133681</v>
      </c>
    </row>
    <row r="357" spans="1:7" x14ac:dyDescent="0.25">
      <c r="A357">
        <v>5358</v>
      </c>
      <c r="B357" t="s">
        <v>93</v>
      </c>
      <c r="C357" s="1">
        <v>44827</v>
      </c>
      <c r="D357" s="1">
        <v>117974</v>
      </c>
      <c r="E357">
        <v>266771</v>
      </c>
      <c r="F357">
        <v>132191</v>
      </c>
      <c r="G357">
        <v>134580</v>
      </c>
    </row>
    <row r="358" spans="1:7" x14ac:dyDescent="0.25">
      <c r="A358">
        <v>5362</v>
      </c>
      <c r="B358" t="s">
        <v>94</v>
      </c>
      <c r="C358" s="1">
        <v>43831</v>
      </c>
      <c r="D358" s="1">
        <v>44111</v>
      </c>
      <c r="E358">
        <v>470089</v>
      </c>
    </row>
    <row r="359" spans="1:7" x14ac:dyDescent="0.25">
      <c r="A359">
        <v>5362</v>
      </c>
      <c r="B359" t="s">
        <v>94</v>
      </c>
      <c r="C359" s="1">
        <v>44112</v>
      </c>
      <c r="D359" s="1">
        <v>44433</v>
      </c>
      <c r="E359">
        <v>470615</v>
      </c>
    </row>
    <row r="360" spans="1:7" x14ac:dyDescent="0.25">
      <c r="A360">
        <v>5362</v>
      </c>
      <c r="B360" t="s">
        <v>94</v>
      </c>
      <c r="C360" s="1">
        <v>44434</v>
      </c>
      <c r="D360" s="1">
        <v>44826</v>
      </c>
      <c r="E360">
        <v>469611</v>
      </c>
      <c r="F360">
        <v>228942</v>
      </c>
      <c r="G360">
        <v>240669</v>
      </c>
    </row>
    <row r="361" spans="1:7" x14ac:dyDescent="0.25">
      <c r="A361">
        <v>5362</v>
      </c>
      <c r="B361" t="s">
        <v>94</v>
      </c>
      <c r="C361" s="1">
        <v>44827</v>
      </c>
      <c r="D361" s="1">
        <v>117974</v>
      </c>
      <c r="E361">
        <v>471891</v>
      </c>
      <c r="F361">
        <v>230041</v>
      </c>
      <c r="G361">
        <v>241850</v>
      </c>
    </row>
    <row r="362" spans="1:7" x14ac:dyDescent="0.25">
      <c r="A362">
        <v>5366</v>
      </c>
      <c r="B362" t="s">
        <v>95</v>
      </c>
      <c r="C362" s="1">
        <v>43831</v>
      </c>
      <c r="D362" s="1">
        <v>44111</v>
      </c>
      <c r="E362">
        <v>192840</v>
      </c>
    </row>
    <row r="363" spans="1:7" x14ac:dyDescent="0.25">
      <c r="A363">
        <v>5366</v>
      </c>
      <c r="B363" t="s">
        <v>95</v>
      </c>
      <c r="C363" s="1">
        <v>44112</v>
      </c>
      <c r="D363" s="1">
        <v>44433</v>
      </c>
      <c r="E363">
        <v>193656</v>
      </c>
    </row>
    <row r="364" spans="1:7" x14ac:dyDescent="0.25">
      <c r="A364">
        <v>5366</v>
      </c>
      <c r="B364" t="s">
        <v>95</v>
      </c>
      <c r="C364" s="1">
        <v>44434</v>
      </c>
      <c r="D364" s="1">
        <v>44826</v>
      </c>
      <c r="E364">
        <v>194359</v>
      </c>
      <c r="F364">
        <v>95938</v>
      </c>
      <c r="G364">
        <v>98421</v>
      </c>
    </row>
    <row r="365" spans="1:7" x14ac:dyDescent="0.25">
      <c r="A365">
        <v>5366</v>
      </c>
      <c r="B365" t="s">
        <v>95</v>
      </c>
      <c r="C365" s="1">
        <v>44827</v>
      </c>
      <c r="D365" s="1">
        <v>117974</v>
      </c>
      <c r="E365">
        <v>194701</v>
      </c>
      <c r="F365">
        <v>96123</v>
      </c>
      <c r="G365">
        <v>98578</v>
      </c>
    </row>
    <row r="366" spans="1:7" x14ac:dyDescent="0.25">
      <c r="A366">
        <v>5370</v>
      </c>
      <c r="B366" t="s">
        <v>96</v>
      </c>
      <c r="C366" s="1">
        <v>43831</v>
      </c>
      <c r="D366" s="1">
        <v>44111</v>
      </c>
      <c r="E366">
        <v>254322</v>
      </c>
    </row>
    <row r="367" spans="1:7" x14ac:dyDescent="0.25">
      <c r="A367">
        <v>5370</v>
      </c>
      <c r="B367" t="s">
        <v>96</v>
      </c>
      <c r="C367" s="1">
        <v>44112</v>
      </c>
      <c r="D367" s="1">
        <v>44433</v>
      </c>
      <c r="E367">
        <v>255555</v>
      </c>
    </row>
    <row r="368" spans="1:7" x14ac:dyDescent="0.25">
      <c r="A368">
        <v>5370</v>
      </c>
      <c r="B368" t="s">
        <v>96</v>
      </c>
      <c r="C368" s="1">
        <v>44434</v>
      </c>
      <c r="D368" s="1">
        <v>44826</v>
      </c>
      <c r="E368">
        <v>256458</v>
      </c>
      <c r="F368">
        <v>126923</v>
      </c>
      <c r="G368">
        <v>129535</v>
      </c>
    </row>
    <row r="369" spans="1:7" x14ac:dyDescent="0.25">
      <c r="A369">
        <v>5370</v>
      </c>
      <c r="B369" t="s">
        <v>96</v>
      </c>
      <c r="C369" s="1">
        <v>44827</v>
      </c>
      <c r="D369" s="1">
        <v>117974</v>
      </c>
      <c r="E369">
        <v>258306</v>
      </c>
      <c r="F369">
        <v>127883</v>
      </c>
      <c r="G369">
        <v>130423</v>
      </c>
    </row>
    <row r="370" spans="1:7" x14ac:dyDescent="0.25">
      <c r="A370">
        <v>5374</v>
      </c>
      <c r="B370" t="s">
        <v>97</v>
      </c>
      <c r="C370" s="1">
        <v>43831</v>
      </c>
      <c r="D370" s="1">
        <v>44111</v>
      </c>
      <c r="E370">
        <v>272471</v>
      </c>
    </row>
    <row r="371" spans="1:7" x14ac:dyDescent="0.25">
      <c r="A371">
        <v>5374</v>
      </c>
      <c r="B371" t="s">
        <v>97</v>
      </c>
      <c r="C371" s="1">
        <v>44112</v>
      </c>
      <c r="D371" s="1">
        <v>44433</v>
      </c>
      <c r="E371">
        <v>272057</v>
      </c>
    </row>
    <row r="372" spans="1:7" x14ac:dyDescent="0.25">
      <c r="A372">
        <v>5374</v>
      </c>
      <c r="B372" t="s">
        <v>97</v>
      </c>
      <c r="C372" s="1">
        <v>44434</v>
      </c>
      <c r="D372" s="1">
        <v>44826</v>
      </c>
      <c r="E372">
        <v>271699</v>
      </c>
      <c r="F372">
        <v>133601</v>
      </c>
      <c r="G372">
        <v>138098</v>
      </c>
    </row>
    <row r="373" spans="1:7" x14ac:dyDescent="0.25">
      <c r="A373">
        <v>5374</v>
      </c>
      <c r="B373" t="s">
        <v>97</v>
      </c>
      <c r="C373" s="1">
        <v>44827</v>
      </c>
      <c r="D373" s="1">
        <v>117974</v>
      </c>
      <c r="E373">
        <v>271621</v>
      </c>
      <c r="F373">
        <v>133578</v>
      </c>
      <c r="G373">
        <v>138043</v>
      </c>
    </row>
    <row r="374" spans="1:7" x14ac:dyDescent="0.25">
      <c r="A374">
        <v>5378</v>
      </c>
      <c r="B374" t="s">
        <v>98</v>
      </c>
      <c r="C374" s="1">
        <v>43831</v>
      </c>
      <c r="D374" s="1">
        <v>44111</v>
      </c>
      <c r="E374">
        <v>283455</v>
      </c>
    </row>
    <row r="375" spans="1:7" x14ac:dyDescent="0.25">
      <c r="A375">
        <v>5378</v>
      </c>
      <c r="B375" t="s">
        <v>98</v>
      </c>
      <c r="C375" s="1">
        <v>44112</v>
      </c>
      <c r="D375" s="1">
        <v>44433</v>
      </c>
      <c r="E375">
        <v>283271</v>
      </c>
    </row>
    <row r="376" spans="1:7" x14ac:dyDescent="0.25">
      <c r="A376">
        <v>5378</v>
      </c>
      <c r="B376" t="s">
        <v>98</v>
      </c>
      <c r="C376" s="1">
        <v>44434</v>
      </c>
      <c r="D376" s="1">
        <v>44826</v>
      </c>
      <c r="E376">
        <v>283275</v>
      </c>
      <c r="F376">
        <v>137257</v>
      </c>
      <c r="G376">
        <v>146018</v>
      </c>
    </row>
    <row r="377" spans="1:7" x14ac:dyDescent="0.25">
      <c r="A377">
        <v>5378</v>
      </c>
      <c r="B377" t="s">
        <v>98</v>
      </c>
      <c r="C377" s="1">
        <v>44827</v>
      </c>
      <c r="D377" s="1">
        <v>117974</v>
      </c>
      <c r="E377">
        <v>283429</v>
      </c>
      <c r="F377">
        <v>137330</v>
      </c>
      <c r="G377">
        <v>146099</v>
      </c>
    </row>
    <row r="378" spans="1:7" x14ac:dyDescent="0.25">
      <c r="A378">
        <v>5382</v>
      </c>
      <c r="B378" t="s">
        <v>99</v>
      </c>
      <c r="C378" s="1">
        <v>43831</v>
      </c>
      <c r="D378" s="1">
        <v>44111</v>
      </c>
      <c r="E378">
        <v>599780</v>
      </c>
    </row>
    <row r="379" spans="1:7" x14ac:dyDescent="0.25">
      <c r="A379">
        <v>5382</v>
      </c>
      <c r="B379" t="s">
        <v>99</v>
      </c>
      <c r="C379" s="1">
        <v>44112</v>
      </c>
      <c r="D379" s="1">
        <v>44433</v>
      </c>
      <c r="E379">
        <v>600764</v>
      </c>
    </row>
    <row r="380" spans="1:7" x14ac:dyDescent="0.25">
      <c r="A380">
        <v>5382</v>
      </c>
      <c r="B380" t="s">
        <v>99</v>
      </c>
      <c r="C380" s="1">
        <v>44434</v>
      </c>
      <c r="D380" s="1">
        <v>44826</v>
      </c>
      <c r="E380">
        <v>600375</v>
      </c>
      <c r="F380">
        <v>294058</v>
      </c>
      <c r="G380">
        <v>306317</v>
      </c>
    </row>
    <row r="381" spans="1:7" x14ac:dyDescent="0.25">
      <c r="A381">
        <v>5382</v>
      </c>
      <c r="B381" t="s">
        <v>99</v>
      </c>
      <c r="C381" s="1">
        <v>44827</v>
      </c>
      <c r="D381" s="1">
        <v>117974</v>
      </c>
      <c r="E381">
        <v>600732</v>
      </c>
      <c r="F381">
        <v>294092</v>
      </c>
      <c r="G381">
        <v>306640</v>
      </c>
    </row>
    <row r="382" spans="1:7" x14ac:dyDescent="0.25">
      <c r="A382">
        <v>5512</v>
      </c>
      <c r="B382" t="s">
        <v>100</v>
      </c>
      <c r="C382" s="1">
        <v>43831</v>
      </c>
      <c r="D382" s="1">
        <v>44111</v>
      </c>
      <c r="E382">
        <v>117383</v>
      </c>
    </row>
    <row r="383" spans="1:7" x14ac:dyDescent="0.25">
      <c r="A383">
        <v>5512</v>
      </c>
      <c r="B383" t="s">
        <v>100</v>
      </c>
      <c r="C383" s="1">
        <v>44112</v>
      </c>
      <c r="D383" s="1">
        <v>44433</v>
      </c>
      <c r="E383">
        <v>117565</v>
      </c>
    </row>
    <row r="384" spans="1:7" x14ac:dyDescent="0.25">
      <c r="A384">
        <v>5512</v>
      </c>
      <c r="B384" t="s">
        <v>100</v>
      </c>
      <c r="C384" s="1">
        <v>44434</v>
      </c>
      <c r="D384" s="1">
        <v>44826</v>
      </c>
      <c r="E384">
        <v>117388</v>
      </c>
      <c r="F384">
        <v>57122</v>
      </c>
      <c r="G384">
        <v>60266</v>
      </c>
    </row>
    <row r="385" spans="1:7" x14ac:dyDescent="0.25">
      <c r="A385">
        <v>5512</v>
      </c>
      <c r="B385" t="s">
        <v>100</v>
      </c>
      <c r="C385" s="1">
        <v>44827</v>
      </c>
      <c r="D385" s="1">
        <v>117974</v>
      </c>
      <c r="E385">
        <v>117311</v>
      </c>
      <c r="F385">
        <v>57069</v>
      </c>
      <c r="G385">
        <v>60242</v>
      </c>
    </row>
    <row r="386" spans="1:7" x14ac:dyDescent="0.25">
      <c r="A386">
        <v>5513</v>
      </c>
      <c r="B386" t="s">
        <v>101</v>
      </c>
      <c r="C386" s="1">
        <v>43831</v>
      </c>
      <c r="D386" s="1">
        <v>44111</v>
      </c>
      <c r="E386">
        <v>260654</v>
      </c>
    </row>
    <row r="387" spans="1:7" x14ac:dyDescent="0.25">
      <c r="A387">
        <v>5513</v>
      </c>
      <c r="B387" t="s">
        <v>101</v>
      </c>
      <c r="C387" s="1">
        <v>44112</v>
      </c>
      <c r="D387" s="1">
        <v>44433</v>
      </c>
      <c r="E387">
        <v>259645</v>
      </c>
    </row>
    <row r="388" spans="1:7" x14ac:dyDescent="0.25">
      <c r="A388">
        <v>5513</v>
      </c>
      <c r="B388" t="s">
        <v>101</v>
      </c>
      <c r="C388" s="1">
        <v>44434</v>
      </c>
      <c r="D388" s="1">
        <v>44826</v>
      </c>
      <c r="E388">
        <v>259105</v>
      </c>
      <c r="F388">
        <v>128800</v>
      </c>
      <c r="G388">
        <v>130305</v>
      </c>
    </row>
    <row r="389" spans="1:7" x14ac:dyDescent="0.25">
      <c r="A389">
        <v>5513</v>
      </c>
      <c r="B389" t="s">
        <v>101</v>
      </c>
      <c r="C389" s="1">
        <v>44827</v>
      </c>
      <c r="D389" s="1">
        <v>117974</v>
      </c>
      <c r="E389">
        <v>260126</v>
      </c>
      <c r="F389">
        <v>129271</v>
      </c>
      <c r="G389">
        <v>130855</v>
      </c>
    </row>
    <row r="390" spans="1:7" x14ac:dyDescent="0.25">
      <c r="A390">
        <v>5515</v>
      </c>
      <c r="B390" t="s">
        <v>102</v>
      </c>
      <c r="C390" s="1">
        <v>43831</v>
      </c>
      <c r="D390" s="1">
        <v>44111</v>
      </c>
      <c r="E390">
        <v>314319</v>
      </c>
    </row>
    <row r="391" spans="1:7" x14ac:dyDescent="0.25">
      <c r="A391">
        <v>5515</v>
      </c>
      <c r="B391" t="s">
        <v>102</v>
      </c>
      <c r="C391" s="1">
        <v>44112</v>
      </c>
      <c r="D391" s="1">
        <v>44433</v>
      </c>
      <c r="E391">
        <v>315293</v>
      </c>
    </row>
    <row r="392" spans="1:7" x14ac:dyDescent="0.25">
      <c r="A392">
        <v>5515</v>
      </c>
      <c r="B392" t="s">
        <v>102</v>
      </c>
      <c r="C392" s="1">
        <v>44434</v>
      </c>
      <c r="D392" s="1">
        <v>44826</v>
      </c>
      <c r="E392">
        <v>316403</v>
      </c>
      <c r="F392">
        <v>152025</v>
      </c>
      <c r="G392">
        <v>164378</v>
      </c>
    </row>
    <row r="393" spans="1:7" x14ac:dyDescent="0.25">
      <c r="A393">
        <v>5515</v>
      </c>
      <c r="B393" t="s">
        <v>102</v>
      </c>
      <c r="C393" s="1">
        <v>44827</v>
      </c>
      <c r="D393" s="1">
        <v>117974</v>
      </c>
      <c r="E393">
        <v>317713</v>
      </c>
      <c r="F393">
        <v>152515</v>
      </c>
      <c r="G393">
        <v>165198</v>
      </c>
    </row>
    <row r="394" spans="1:7" x14ac:dyDescent="0.25">
      <c r="A394">
        <v>5554</v>
      </c>
      <c r="B394" t="s">
        <v>103</v>
      </c>
      <c r="C394" s="1">
        <v>43831</v>
      </c>
      <c r="D394" s="1">
        <v>44111</v>
      </c>
      <c r="E394">
        <v>370676</v>
      </c>
    </row>
    <row r="395" spans="1:7" x14ac:dyDescent="0.25">
      <c r="A395">
        <v>5554</v>
      </c>
      <c r="B395" t="s">
        <v>103</v>
      </c>
      <c r="C395" s="1">
        <v>44112</v>
      </c>
      <c r="D395" s="1">
        <v>44433</v>
      </c>
      <c r="E395">
        <v>371339</v>
      </c>
    </row>
    <row r="396" spans="1:7" x14ac:dyDescent="0.25">
      <c r="A396">
        <v>5554</v>
      </c>
      <c r="B396" t="s">
        <v>103</v>
      </c>
      <c r="C396" s="1">
        <v>44434</v>
      </c>
      <c r="D396" s="1">
        <v>44826</v>
      </c>
      <c r="E396">
        <v>371898</v>
      </c>
      <c r="F396">
        <v>185800</v>
      </c>
      <c r="G396">
        <v>186098</v>
      </c>
    </row>
    <row r="397" spans="1:7" x14ac:dyDescent="0.25">
      <c r="A397">
        <v>5554</v>
      </c>
      <c r="B397" t="s">
        <v>103</v>
      </c>
      <c r="C397" s="1">
        <v>44827</v>
      </c>
      <c r="D397" s="1">
        <v>117974</v>
      </c>
      <c r="E397">
        <v>373582</v>
      </c>
      <c r="F397">
        <v>186654</v>
      </c>
      <c r="G397">
        <v>186928</v>
      </c>
    </row>
    <row r="398" spans="1:7" x14ac:dyDescent="0.25">
      <c r="A398">
        <v>5558</v>
      </c>
      <c r="B398" t="s">
        <v>104</v>
      </c>
      <c r="C398" s="1">
        <v>43831</v>
      </c>
      <c r="D398" s="1">
        <v>44111</v>
      </c>
      <c r="E398">
        <v>219929</v>
      </c>
    </row>
    <row r="399" spans="1:7" x14ac:dyDescent="0.25">
      <c r="A399">
        <v>5558</v>
      </c>
      <c r="B399" t="s">
        <v>104</v>
      </c>
      <c r="C399" s="1">
        <v>44112</v>
      </c>
      <c r="D399" s="1">
        <v>44433</v>
      </c>
      <c r="E399">
        <v>220586</v>
      </c>
    </row>
    <row r="400" spans="1:7" x14ac:dyDescent="0.25">
      <c r="A400">
        <v>5558</v>
      </c>
      <c r="B400" t="s">
        <v>104</v>
      </c>
      <c r="C400" s="1">
        <v>44434</v>
      </c>
      <c r="D400" s="1">
        <v>44826</v>
      </c>
      <c r="E400">
        <v>220712</v>
      </c>
      <c r="F400">
        <v>108863</v>
      </c>
      <c r="G400">
        <v>111849</v>
      </c>
    </row>
    <row r="401" spans="1:7" x14ac:dyDescent="0.25">
      <c r="A401">
        <v>5558</v>
      </c>
      <c r="B401" t="s">
        <v>104</v>
      </c>
      <c r="C401" s="1">
        <v>44827</v>
      </c>
      <c r="D401" s="1">
        <v>117974</v>
      </c>
      <c r="E401">
        <v>221352</v>
      </c>
      <c r="F401">
        <v>109210</v>
      </c>
      <c r="G401">
        <v>112142</v>
      </c>
    </row>
    <row r="402" spans="1:7" x14ac:dyDescent="0.25">
      <c r="A402">
        <v>5562</v>
      </c>
      <c r="B402" t="s">
        <v>105</v>
      </c>
      <c r="C402" s="1">
        <v>43831</v>
      </c>
      <c r="D402" s="1">
        <v>44111</v>
      </c>
      <c r="E402">
        <v>615261</v>
      </c>
    </row>
    <row r="403" spans="1:7" x14ac:dyDescent="0.25">
      <c r="A403">
        <v>5562</v>
      </c>
      <c r="B403" t="s">
        <v>105</v>
      </c>
      <c r="C403" s="1">
        <v>44112</v>
      </c>
      <c r="D403" s="1">
        <v>44433</v>
      </c>
      <c r="E403">
        <v>614137</v>
      </c>
    </row>
    <row r="404" spans="1:7" x14ac:dyDescent="0.25">
      <c r="A404">
        <v>5562</v>
      </c>
      <c r="B404" t="s">
        <v>105</v>
      </c>
      <c r="C404" s="1">
        <v>44434</v>
      </c>
      <c r="D404" s="1">
        <v>44826</v>
      </c>
      <c r="E404">
        <v>613599</v>
      </c>
      <c r="F404">
        <v>299053</v>
      </c>
      <c r="G404">
        <v>314546</v>
      </c>
    </row>
    <row r="405" spans="1:7" x14ac:dyDescent="0.25">
      <c r="A405">
        <v>5562</v>
      </c>
      <c r="B405" t="s">
        <v>105</v>
      </c>
      <c r="C405" s="1">
        <v>44827</v>
      </c>
      <c r="D405" s="1">
        <v>117974</v>
      </c>
      <c r="E405">
        <v>612801</v>
      </c>
      <c r="F405">
        <v>298416</v>
      </c>
      <c r="G405">
        <v>314385</v>
      </c>
    </row>
    <row r="406" spans="1:7" x14ac:dyDescent="0.25">
      <c r="A406">
        <v>5566</v>
      </c>
      <c r="B406" t="s">
        <v>106</v>
      </c>
      <c r="C406" s="1">
        <v>43831</v>
      </c>
      <c r="D406" s="1">
        <v>44111</v>
      </c>
      <c r="E406">
        <v>447614</v>
      </c>
    </row>
    <row r="407" spans="1:7" x14ac:dyDescent="0.25">
      <c r="A407">
        <v>5566</v>
      </c>
      <c r="B407" t="s">
        <v>106</v>
      </c>
      <c r="C407" s="1">
        <v>44112</v>
      </c>
      <c r="D407" s="1">
        <v>44433</v>
      </c>
      <c r="E407">
        <v>448220</v>
      </c>
    </row>
    <row r="408" spans="1:7" x14ac:dyDescent="0.25">
      <c r="A408">
        <v>5566</v>
      </c>
      <c r="B408" t="s">
        <v>106</v>
      </c>
      <c r="C408" s="1">
        <v>44434</v>
      </c>
      <c r="D408" s="1">
        <v>44826</v>
      </c>
      <c r="E408">
        <v>448197</v>
      </c>
      <c r="F408">
        <v>222884</v>
      </c>
      <c r="G408">
        <v>225313</v>
      </c>
    </row>
    <row r="409" spans="1:7" x14ac:dyDescent="0.25">
      <c r="A409">
        <v>5566</v>
      </c>
      <c r="B409" t="s">
        <v>106</v>
      </c>
      <c r="C409" s="1">
        <v>44827</v>
      </c>
      <c r="D409" s="1">
        <v>117974</v>
      </c>
      <c r="E409">
        <v>450176</v>
      </c>
      <c r="F409">
        <v>223922</v>
      </c>
      <c r="G409">
        <v>226254</v>
      </c>
    </row>
    <row r="410" spans="1:7" x14ac:dyDescent="0.25">
      <c r="A410">
        <v>5570</v>
      </c>
      <c r="B410" t="s">
        <v>107</v>
      </c>
      <c r="C410" s="1">
        <v>43831</v>
      </c>
      <c r="D410" s="1">
        <v>44111</v>
      </c>
      <c r="E410">
        <v>277783</v>
      </c>
    </row>
    <row r="411" spans="1:7" x14ac:dyDescent="0.25">
      <c r="A411">
        <v>5570</v>
      </c>
      <c r="B411" t="s">
        <v>107</v>
      </c>
      <c r="C411" s="1">
        <v>44112</v>
      </c>
      <c r="D411" s="1">
        <v>44433</v>
      </c>
      <c r="E411">
        <v>277840</v>
      </c>
    </row>
    <row r="412" spans="1:7" x14ac:dyDescent="0.25">
      <c r="A412">
        <v>5570</v>
      </c>
      <c r="B412" t="s">
        <v>107</v>
      </c>
      <c r="C412" s="1">
        <v>44434</v>
      </c>
      <c r="D412" s="1">
        <v>44826</v>
      </c>
      <c r="E412">
        <v>277417</v>
      </c>
      <c r="F412">
        <v>136924</v>
      </c>
      <c r="G412">
        <v>140493</v>
      </c>
    </row>
    <row r="413" spans="1:7" x14ac:dyDescent="0.25">
      <c r="A413">
        <v>5570</v>
      </c>
      <c r="B413" t="s">
        <v>107</v>
      </c>
      <c r="C413" s="1">
        <v>44827</v>
      </c>
      <c r="D413" s="1">
        <v>117974</v>
      </c>
      <c r="E413">
        <v>278176</v>
      </c>
      <c r="F413">
        <v>137425</v>
      </c>
      <c r="G413">
        <v>140751</v>
      </c>
    </row>
    <row r="414" spans="1:7" x14ac:dyDescent="0.25">
      <c r="A414">
        <v>5711</v>
      </c>
      <c r="B414" t="s">
        <v>108</v>
      </c>
      <c r="C414" s="1">
        <v>43831</v>
      </c>
      <c r="D414" s="1">
        <v>44111</v>
      </c>
      <c r="E414">
        <v>333786</v>
      </c>
    </row>
    <row r="415" spans="1:7" x14ac:dyDescent="0.25">
      <c r="A415">
        <v>5711</v>
      </c>
      <c r="B415" t="s">
        <v>108</v>
      </c>
      <c r="C415" s="1">
        <v>44112</v>
      </c>
      <c r="D415" s="1">
        <v>44433</v>
      </c>
      <c r="E415">
        <v>334195</v>
      </c>
    </row>
    <row r="416" spans="1:7" x14ac:dyDescent="0.25">
      <c r="A416">
        <v>5711</v>
      </c>
      <c r="B416" t="s">
        <v>108</v>
      </c>
      <c r="C416" s="1">
        <v>44434</v>
      </c>
      <c r="D416" s="1">
        <v>44826</v>
      </c>
      <c r="E416">
        <v>333509</v>
      </c>
      <c r="F416">
        <v>160802</v>
      </c>
      <c r="G416">
        <v>172707</v>
      </c>
    </row>
    <row r="417" spans="1:7" x14ac:dyDescent="0.25">
      <c r="A417">
        <v>5711</v>
      </c>
      <c r="B417" t="s">
        <v>108</v>
      </c>
      <c r="C417" s="1">
        <v>44827</v>
      </c>
      <c r="D417" s="1">
        <v>117974</v>
      </c>
      <c r="E417">
        <v>334002</v>
      </c>
      <c r="F417">
        <v>161237</v>
      </c>
      <c r="G417">
        <v>172765</v>
      </c>
    </row>
    <row r="418" spans="1:7" x14ac:dyDescent="0.25">
      <c r="A418">
        <v>5754</v>
      </c>
      <c r="B418" t="s">
        <v>109</v>
      </c>
      <c r="C418" s="1">
        <v>43831</v>
      </c>
      <c r="D418" s="1">
        <v>44111</v>
      </c>
      <c r="E418">
        <v>364083</v>
      </c>
    </row>
    <row r="419" spans="1:7" x14ac:dyDescent="0.25">
      <c r="A419">
        <v>5754</v>
      </c>
      <c r="B419" t="s">
        <v>109</v>
      </c>
      <c r="C419" s="1">
        <v>44112</v>
      </c>
      <c r="D419" s="1">
        <v>44433</v>
      </c>
      <c r="E419">
        <v>364938</v>
      </c>
    </row>
    <row r="420" spans="1:7" x14ac:dyDescent="0.25">
      <c r="A420">
        <v>5754</v>
      </c>
      <c r="B420" t="s">
        <v>109</v>
      </c>
      <c r="C420" s="1">
        <v>44434</v>
      </c>
      <c r="D420" s="1">
        <v>44826</v>
      </c>
      <c r="E420">
        <v>364818</v>
      </c>
      <c r="F420">
        <v>181947</v>
      </c>
      <c r="G420">
        <v>182871</v>
      </c>
    </row>
    <row r="421" spans="1:7" x14ac:dyDescent="0.25">
      <c r="A421">
        <v>5754</v>
      </c>
      <c r="B421" t="s">
        <v>109</v>
      </c>
      <c r="C421" s="1">
        <v>44827</v>
      </c>
      <c r="D421" s="1">
        <v>117974</v>
      </c>
      <c r="E421">
        <v>366104</v>
      </c>
      <c r="F421">
        <v>182673</v>
      </c>
      <c r="G421">
        <v>183431</v>
      </c>
    </row>
    <row r="422" spans="1:7" x14ac:dyDescent="0.25">
      <c r="A422">
        <v>5758</v>
      </c>
      <c r="B422" t="s">
        <v>110</v>
      </c>
      <c r="C422" s="1">
        <v>43831</v>
      </c>
      <c r="D422" s="1">
        <v>44111</v>
      </c>
      <c r="E422">
        <v>250783</v>
      </c>
    </row>
    <row r="423" spans="1:7" x14ac:dyDescent="0.25">
      <c r="A423">
        <v>5758</v>
      </c>
      <c r="B423" t="s">
        <v>110</v>
      </c>
      <c r="C423" s="1">
        <v>44112</v>
      </c>
      <c r="D423" s="1">
        <v>44433</v>
      </c>
      <c r="E423">
        <v>250578</v>
      </c>
    </row>
    <row r="424" spans="1:7" x14ac:dyDescent="0.25">
      <c r="A424">
        <v>5758</v>
      </c>
      <c r="B424" t="s">
        <v>110</v>
      </c>
      <c r="C424" s="1">
        <v>44434</v>
      </c>
      <c r="D424" s="1">
        <v>44826</v>
      </c>
      <c r="E424">
        <v>250547</v>
      </c>
      <c r="F424">
        <v>123181</v>
      </c>
      <c r="G424">
        <v>127366</v>
      </c>
    </row>
    <row r="425" spans="1:7" x14ac:dyDescent="0.25">
      <c r="A425">
        <v>5758</v>
      </c>
      <c r="B425" t="s">
        <v>110</v>
      </c>
      <c r="C425" s="1">
        <v>44827</v>
      </c>
      <c r="D425" s="1">
        <v>117974</v>
      </c>
      <c r="E425">
        <v>250635</v>
      </c>
      <c r="F425">
        <v>123333</v>
      </c>
      <c r="G425">
        <v>127302</v>
      </c>
    </row>
    <row r="426" spans="1:7" x14ac:dyDescent="0.25">
      <c r="A426">
        <v>5762</v>
      </c>
      <c r="B426" t="s">
        <v>111</v>
      </c>
      <c r="C426" s="1">
        <v>43831</v>
      </c>
      <c r="D426" s="1">
        <v>44111</v>
      </c>
      <c r="E426">
        <v>140667</v>
      </c>
    </row>
    <row r="427" spans="1:7" x14ac:dyDescent="0.25">
      <c r="A427">
        <v>5762</v>
      </c>
      <c r="B427" t="s">
        <v>111</v>
      </c>
      <c r="C427" s="1">
        <v>44112</v>
      </c>
      <c r="D427" s="1">
        <v>44433</v>
      </c>
      <c r="E427">
        <v>140251</v>
      </c>
    </row>
    <row r="428" spans="1:7" x14ac:dyDescent="0.25">
      <c r="A428">
        <v>5762</v>
      </c>
      <c r="B428" t="s">
        <v>111</v>
      </c>
      <c r="C428" s="1">
        <v>44434</v>
      </c>
      <c r="D428" s="1">
        <v>44826</v>
      </c>
      <c r="E428">
        <v>139729</v>
      </c>
      <c r="F428">
        <v>69556</v>
      </c>
      <c r="G428">
        <v>70173</v>
      </c>
    </row>
    <row r="429" spans="1:7" x14ac:dyDescent="0.25">
      <c r="A429">
        <v>5762</v>
      </c>
      <c r="B429" t="s">
        <v>111</v>
      </c>
      <c r="C429" s="1">
        <v>44827</v>
      </c>
      <c r="D429" s="1">
        <v>117974</v>
      </c>
      <c r="E429">
        <v>139994</v>
      </c>
      <c r="F429">
        <v>69732</v>
      </c>
      <c r="G429">
        <v>70262</v>
      </c>
    </row>
    <row r="430" spans="1:7" x14ac:dyDescent="0.25">
      <c r="A430">
        <v>5766</v>
      </c>
      <c r="B430" t="s">
        <v>112</v>
      </c>
      <c r="C430" s="1">
        <v>43831</v>
      </c>
      <c r="D430" s="1">
        <v>44111</v>
      </c>
      <c r="E430">
        <v>348391</v>
      </c>
    </row>
    <row r="431" spans="1:7" x14ac:dyDescent="0.25">
      <c r="A431">
        <v>5766</v>
      </c>
      <c r="B431" t="s">
        <v>112</v>
      </c>
      <c r="C431" s="1">
        <v>44112</v>
      </c>
      <c r="D431" s="1">
        <v>44433</v>
      </c>
      <c r="E431">
        <v>347514</v>
      </c>
    </row>
    <row r="432" spans="1:7" x14ac:dyDescent="0.25">
      <c r="A432">
        <v>5766</v>
      </c>
      <c r="B432" t="s">
        <v>112</v>
      </c>
      <c r="C432" s="1">
        <v>44434</v>
      </c>
      <c r="D432" s="1">
        <v>44826</v>
      </c>
      <c r="E432">
        <v>346970</v>
      </c>
      <c r="F432">
        <v>170224</v>
      </c>
      <c r="G432">
        <v>176746</v>
      </c>
    </row>
    <row r="433" spans="1:7" x14ac:dyDescent="0.25">
      <c r="A433">
        <v>5766</v>
      </c>
      <c r="B433" t="s">
        <v>112</v>
      </c>
      <c r="C433" s="1">
        <v>44827</v>
      </c>
      <c r="D433" s="1">
        <v>117974</v>
      </c>
      <c r="E433">
        <v>346151</v>
      </c>
      <c r="F433">
        <v>169938</v>
      </c>
      <c r="G433">
        <v>176213</v>
      </c>
    </row>
    <row r="434" spans="1:7" x14ac:dyDescent="0.25">
      <c r="A434">
        <v>5770</v>
      </c>
      <c r="B434" t="s">
        <v>113</v>
      </c>
      <c r="C434" s="1">
        <v>43831</v>
      </c>
      <c r="D434" s="1">
        <v>44111</v>
      </c>
      <c r="E434">
        <v>310710</v>
      </c>
    </row>
    <row r="435" spans="1:7" x14ac:dyDescent="0.25">
      <c r="A435">
        <v>5770</v>
      </c>
      <c r="B435" t="s">
        <v>113</v>
      </c>
      <c r="C435" s="1">
        <v>44112</v>
      </c>
      <c r="D435" s="1">
        <v>44433</v>
      </c>
      <c r="E435">
        <v>310409</v>
      </c>
    </row>
    <row r="436" spans="1:7" x14ac:dyDescent="0.25">
      <c r="A436">
        <v>5770</v>
      </c>
      <c r="B436" t="s">
        <v>113</v>
      </c>
      <c r="C436" s="1">
        <v>44434</v>
      </c>
      <c r="D436" s="1">
        <v>44826</v>
      </c>
      <c r="E436">
        <v>310270</v>
      </c>
      <c r="F436">
        <v>153264</v>
      </c>
      <c r="G436">
        <v>157006</v>
      </c>
    </row>
    <row r="437" spans="1:7" x14ac:dyDescent="0.25">
      <c r="A437">
        <v>5770</v>
      </c>
      <c r="B437" t="s">
        <v>113</v>
      </c>
      <c r="C437" s="1">
        <v>44827</v>
      </c>
      <c r="D437" s="1">
        <v>117974</v>
      </c>
      <c r="E437">
        <v>311214</v>
      </c>
      <c r="F437">
        <v>153899</v>
      </c>
      <c r="G437">
        <v>157315</v>
      </c>
    </row>
    <row r="438" spans="1:7" x14ac:dyDescent="0.25">
      <c r="A438">
        <v>5774</v>
      </c>
      <c r="B438" t="s">
        <v>114</v>
      </c>
      <c r="C438" s="1">
        <v>43831</v>
      </c>
      <c r="D438" s="1">
        <v>44111</v>
      </c>
      <c r="E438">
        <v>306890</v>
      </c>
    </row>
    <row r="439" spans="1:7" x14ac:dyDescent="0.25">
      <c r="A439">
        <v>5774</v>
      </c>
      <c r="B439" t="s">
        <v>114</v>
      </c>
      <c r="C439" s="1">
        <v>44112</v>
      </c>
      <c r="D439" s="1">
        <v>44433</v>
      </c>
      <c r="E439">
        <v>307839</v>
      </c>
    </row>
    <row r="440" spans="1:7" x14ac:dyDescent="0.25">
      <c r="A440">
        <v>5774</v>
      </c>
      <c r="B440" t="s">
        <v>114</v>
      </c>
      <c r="C440" s="1">
        <v>44434</v>
      </c>
      <c r="D440" s="1">
        <v>44826</v>
      </c>
      <c r="E440">
        <v>308335</v>
      </c>
      <c r="F440">
        <v>154388</v>
      </c>
      <c r="G440">
        <v>153947</v>
      </c>
    </row>
    <row r="441" spans="1:7" x14ac:dyDescent="0.25">
      <c r="A441">
        <v>5774</v>
      </c>
      <c r="B441" t="s">
        <v>114</v>
      </c>
      <c r="C441" s="1">
        <v>44827</v>
      </c>
      <c r="D441" s="1">
        <v>117974</v>
      </c>
      <c r="E441">
        <v>309380</v>
      </c>
      <c r="F441">
        <v>154965</v>
      </c>
      <c r="G441">
        <v>154415</v>
      </c>
    </row>
    <row r="442" spans="1:7" x14ac:dyDescent="0.25">
      <c r="A442">
        <v>5911</v>
      </c>
      <c r="B442" t="s">
        <v>115</v>
      </c>
      <c r="C442" s="1">
        <v>43831</v>
      </c>
      <c r="D442" s="1">
        <v>44111</v>
      </c>
      <c r="E442">
        <v>364628</v>
      </c>
    </row>
    <row r="443" spans="1:7" x14ac:dyDescent="0.25">
      <c r="A443">
        <v>5911</v>
      </c>
      <c r="B443" t="s">
        <v>115</v>
      </c>
      <c r="C443" s="1">
        <v>44112</v>
      </c>
      <c r="D443" s="1">
        <v>44433</v>
      </c>
      <c r="E443">
        <v>365587</v>
      </c>
    </row>
    <row r="444" spans="1:7" x14ac:dyDescent="0.25">
      <c r="A444">
        <v>5911</v>
      </c>
      <c r="B444" t="s">
        <v>115</v>
      </c>
      <c r="C444" s="1">
        <v>44434</v>
      </c>
      <c r="D444" s="1">
        <v>44826</v>
      </c>
      <c r="E444">
        <v>364454</v>
      </c>
      <c r="F444">
        <v>177829</v>
      </c>
      <c r="G444">
        <v>186625</v>
      </c>
    </row>
    <row r="445" spans="1:7" x14ac:dyDescent="0.25">
      <c r="A445">
        <v>5911</v>
      </c>
      <c r="B445" t="s">
        <v>115</v>
      </c>
      <c r="C445" s="1">
        <v>44827</v>
      </c>
      <c r="D445" s="1">
        <v>117974</v>
      </c>
      <c r="E445">
        <v>363441</v>
      </c>
      <c r="F445">
        <v>177516</v>
      </c>
      <c r="G445">
        <v>185925</v>
      </c>
    </row>
    <row r="446" spans="1:7" x14ac:dyDescent="0.25">
      <c r="A446">
        <v>5913</v>
      </c>
      <c r="B446" t="s">
        <v>116</v>
      </c>
      <c r="C446" s="1">
        <v>43831</v>
      </c>
      <c r="D446" s="1">
        <v>44111</v>
      </c>
      <c r="E446">
        <v>587010</v>
      </c>
    </row>
    <row r="447" spans="1:7" x14ac:dyDescent="0.25">
      <c r="A447">
        <v>5913</v>
      </c>
      <c r="B447" t="s">
        <v>116</v>
      </c>
      <c r="C447" s="1">
        <v>44112</v>
      </c>
      <c r="D447" s="1">
        <v>44433</v>
      </c>
      <c r="E447">
        <v>588250</v>
      </c>
    </row>
    <row r="448" spans="1:7" x14ac:dyDescent="0.25">
      <c r="A448">
        <v>5913</v>
      </c>
      <c r="B448" t="s">
        <v>116</v>
      </c>
      <c r="C448" s="1">
        <v>44434</v>
      </c>
      <c r="D448" s="1">
        <v>44826</v>
      </c>
      <c r="E448">
        <v>587696</v>
      </c>
      <c r="F448">
        <v>289096</v>
      </c>
      <c r="G448">
        <v>298600</v>
      </c>
    </row>
    <row r="449" spans="1:7" x14ac:dyDescent="0.25">
      <c r="A449">
        <v>5913</v>
      </c>
      <c r="B449" t="s">
        <v>116</v>
      </c>
      <c r="C449" s="1">
        <v>44827</v>
      </c>
      <c r="D449" s="1">
        <v>117974</v>
      </c>
      <c r="E449">
        <v>586852</v>
      </c>
      <c r="F449">
        <v>288580</v>
      </c>
      <c r="G449">
        <v>298272</v>
      </c>
    </row>
    <row r="450" spans="1:7" x14ac:dyDescent="0.25">
      <c r="A450">
        <v>5914</v>
      </c>
      <c r="B450" t="s">
        <v>117</v>
      </c>
      <c r="C450" s="1">
        <v>43831</v>
      </c>
      <c r="D450" s="1">
        <v>44111</v>
      </c>
      <c r="E450">
        <v>188814</v>
      </c>
    </row>
    <row r="451" spans="1:7" x14ac:dyDescent="0.25">
      <c r="A451">
        <v>5914</v>
      </c>
      <c r="B451" t="s">
        <v>117</v>
      </c>
      <c r="C451" s="1">
        <v>44112</v>
      </c>
      <c r="D451" s="1">
        <v>44433</v>
      </c>
      <c r="E451">
        <v>188686</v>
      </c>
    </row>
    <row r="452" spans="1:7" x14ac:dyDescent="0.25">
      <c r="A452">
        <v>5914</v>
      </c>
      <c r="B452" t="s">
        <v>117</v>
      </c>
      <c r="C452" s="1">
        <v>44434</v>
      </c>
      <c r="D452" s="1">
        <v>44826</v>
      </c>
      <c r="E452">
        <v>188687</v>
      </c>
      <c r="F452">
        <v>92235</v>
      </c>
      <c r="G452">
        <v>96452</v>
      </c>
    </row>
    <row r="453" spans="1:7" x14ac:dyDescent="0.25">
      <c r="A453">
        <v>5914</v>
      </c>
      <c r="B453" t="s">
        <v>117</v>
      </c>
      <c r="C453" s="1">
        <v>44827</v>
      </c>
      <c r="D453" s="1">
        <v>117974</v>
      </c>
      <c r="E453">
        <v>188713</v>
      </c>
      <c r="F453">
        <v>92373</v>
      </c>
      <c r="G453">
        <v>96340</v>
      </c>
    </row>
    <row r="454" spans="1:7" x14ac:dyDescent="0.25">
      <c r="A454">
        <v>5915</v>
      </c>
      <c r="B454" t="s">
        <v>118</v>
      </c>
      <c r="C454" s="1">
        <v>43831</v>
      </c>
      <c r="D454" s="1">
        <v>44111</v>
      </c>
      <c r="E454">
        <v>179111</v>
      </c>
    </row>
    <row r="455" spans="1:7" x14ac:dyDescent="0.25">
      <c r="A455">
        <v>5915</v>
      </c>
      <c r="B455" t="s">
        <v>118</v>
      </c>
      <c r="C455" s="1">
        <v>44112</v>
      </c>
      <c r="D455" s="1">
        <v>44433</v>
      </c>
      <c r="E455">
        <v>179916</v>
      </c>
    </row>
    <row r="456" spans="1:7" x14ac:dyDescent="0.25">
      <c r="A456">
        <v>5915</v>
      </c>
      <c r="B456" t="s">
        <v>118</v>
      </c>
      <c r="C456" s="1">
        <v>44434</v>
      </c>
      <c r="D456" s="1">
        <v>44826</v>
      </c>
      <c r="E456">
        <v>178967</v>
      </c>
      <c r="F456">
        <v>88085</v>
      </c>
      <c r="G456">
        <v>90882</v>
      </c>
    </row>
    <row r="457" spans="1:7" x14ac:dyDescent="0.25">
      <c r="A457">
        <v>5915</v>
      </c>
      <c r="B457" t="s">
        <v>118</v>
      </c>
      <c r="C457" s="1">
        <v>44827</v>
      </c>
      <c r="D457" s="1">
        <v>117974</v>
      </c>
      <c r="E457">
        <v>179238</v>
      </c>
      <c r="F457">
        <v>88334</v>
      </c>
      <c r="G457">
        <v>90904</v>
      </c>
    </row>
    <row r="458" spans="1:7" x14ac:dyDescent="0.25">
      <c r="A458">
        <v>5916</v>
      </c>
      <c r="B458" t="s">
        <v>119</v>
      </c>
      <c r="C458" s="1">
        <v>43831</v>
      </c>
      <c r="D458" s="1">
        <v>44111</v>
      </c>
      <c r="E458">
        <v>156374</v>
      </c>
    </row>
    <row r="459" spans="1:7" x14ac:dyDescent="0.25">
      <c r="A459">
        <v>5916</v>
      </c>
      <c r="B459" t="s">
        <v>119</v>
      </c>
      <c r="C459" s="1">
        <v>44112</v>
      </c>
      <c r="D459" s="1">
        <v>44433</v>
      </c>
      <c r="E459">
        <v>156449</v>
      </c>
    </row>
    <row r="460" spans="1:7" x14ac:dyDescent="0.25">
      <c r="A460">
        <v>5916</v>
      </c>
      <c r="B460" t="s">
        <v>119</v>
      </c>
      <c r="C460" s="1">
        <v>44434</v>
      </c>
      <c r="D460" s="1">
        <v>44826</v>
      </c>
      <c r="E460">
        <v>156940</v>
      </c>
      <c r="F460">
        <v>77058</v>
      </c>
      <c r="G460">
        <v>79882</v>
      </c>
    </row>
    <row r="461" spans="1:7" x14ac:dyDescent="0.25">
      <c r="A461">
        <v>5916</v>
      </c>
      <c r="B461" t="s">
        <v>119</v>
      </c>
      <c r="C461" s="1">
        <v>44827</v>
      </c>
      <c r="D461" s="1">
        <v>117974</v>
      </c>
      <c r="E461">
        <v>156621</v>
      </c>
      <c r="F461">
        <v>76846</v>
      </c>
      <c r="G461">
        <v>79775</v>
      </c>
    </row>
    <row r="462" spans="1:7" x14ac:dyDescent="0.25">
      <c r="A462">
        <v>5954</v>
      </c>
      <c r="B462" t="s">
        <v>120</v>
      </c>
      <c r="C462" s="1">
        <v>43831</v>
      </c>
      <c r="D462" s="1">
        <v>44111</v>
      </c>
      <c r="E462">
        <v>324296</v>
      </c>
    </row>
    <row r="463" spans="1:7" x14ac:dyDescent="0.25">
      <c r="A463">
        <v>5954</v>
      </c>
      <c r="B463" t="s">
        <v>120</v>
      </c>
      <c r="C463" s="1">
        <v>44112</v>
      </c>
      <c r="D463" s="1">
        <v>44433</v>
      </c>
      <c r="E463">
        <v>324106</v>
      </c>
    </row>
    <row r="464" spans="1:7" x14ac:dyDescent="0.25">
      <c r="A464">
        <v>5954</v>
      </c>
      <c r="B464" t="s">
        <v>120</v>
      </c>
      <c r="C464" s="1">
        <v>44434</v>
      </c>
      <c r="D464" s="1">
        <v>44826</v>
      </c>
      <c r="E464">
        <v>323130</v>
      </c>
      <c r="F464">
        <v>156848</v>
      </c>
      <c r="G464">
        <v>166282</v>
      </c>
    </row>
    <row r="465" spans="1:7" x14ac:dyDescent="0.25">
      <c r="A465">
        <v>5954</v>
      </c>
      <c r="B465" t="s">
        <v>120</v>
      </c>
      <c r="C465" s="1">
        <v>44827</v>
      </c>
      <c r="D465" s="1">
        <v>117974</v>
      </c>
      <c r="E465">
        <v>322143</v>
      </c>
      <c r="F465">
        <v>156443</v>
      </c>
      <c r="G465">
        <v>165700</v>
      </c>
    </row>
    <row r="466" spans="1:7" x14ac:dyDescent="0.25">
      <c r="A466">
        <v>5958</v>
      </c>
      <c r="B466" t="s">
        <v>121</v>
      </c>
      <c r="C466" s="1">
        <v>43831</v>
      </c>
      <c r="D466" s="1">
        <v>44111</v>
      </c>
      <c r="E466">
        <v>260475</v>
      </c>
    </row>
    <row r="467" spans="1:7" x14ac:dyDescent="0.25">
      <c r="A467">
        <v>5958</v>
      </c>
      <c r="B467" t="s">
        <v>121</v>
      </c>
      <c r="C467" s="1">
        <v>44112</v>
      </c>
      <c r="D467" s="1">
        <v>44433</v>
      </c>
      <c r="E467">
        <v>259777</v>
      </c>
    </row>
    <row r="468" spans="1:7" x14ac:dyDescent="0.25">
      <c r="A468">
        <v>5958</v>
      </c>
      <c r="B468" t="s">
        <v>121</v>
      </c>
      <c r="C468" s="1">
        <v>44434</v>
      </c>
      <c r="D468" s="1">
        <v>44826</v>
      </c>
      <c r="E468">
        <v>259030</v>
      </c>
      <c r="F468">
        <v>129379</v>
      </c>
      <c r="G468">
        <v>129651</v>
      </c>
    </row>
    <row r="469" spans="1:7" x14ac:dyDescent="0.25">
      <c r="A469">
        <v>5958</v>
      </c>
      <c r="B469" t="s">
        <v>121</v>
      </c>
      <c r="C469" s="1">
        <v>44827</v>
      </c>
      <c r="D469" s="1">
        <v>117974</v>
      </c>
      <c r="E469">
        <v>258615</v>
      </c>
      <c r="F469">
        <v>129177</v>
      </c>
      <c r="G469">
        <v>129438</v>
      </c>
    </row>
    <row r="470" spans="1:7" x14ac:dyDescent="0.25">
      <c r="A470">
        <v>5962</v>
      </c>
      <c r="B470" t="s">
        <v>122</v>
      </c>
      <c r="C470" s="1">
        <v>43831</v>
      </c>
      <c r="D470" s="1">
        <v>44111</v>
      </c>
      <c r="E470">
        <v>412120</v>
      </c>
    </row>
    <row r="471" spans="1:7" x14ac:dyDescent="0.25">
      <c r="A471">
        <v>5962</v>
      </c>
      <c r="B471" t="s">
        <v>122</v>
      </c>
      <c r="C471" s="1">
        <v>44112</v>
      </c>
      <c r="D471" s="1">
        <v>44433</v>
      </c>
      <c r="E471">
        <v>410222</v>
      </c>
    </row>
    <row r="472" spans="1:7" x14ac:dyDescent="0.25">
      <c r="A472">
        <v>5962</v>
      </c>
      <c r="B472" t="s">
        <v>122</v>
      </c>
      <c r="C472" s="1">
        <v>44434</v>
      </c>
      <c r="D472" s="1">
        <v>44826</v>
      </c>
      <c r="E472">
        <v>408662</v>
      </c>
      <c r="F472">
        <v>201181</v>
      </c>
      <c r="G472">
        <v>207481</v>
      </c>
    </row>
    <row r="473" spans="1:7" x14ac:dyDescent="0.25">
      <c r="A473">
        <v>5962</v>
      </c>
      <c r="B473" t="s">
        <v>122</v>
      </c>
      <c r="C473" s="1">
        <v>44827</v>
      </c>
      <c r="D473" s="1">
        <v>117974</v>
      </c>
      <c r="E473">
        <v>406793</v>
      </c>
      <c r="F473">
        <v>200171</v>
      </c>
      <c r="G473">
        <v>206622</v>
      </c>
    </row>
    <row r="474" spans="1:7" x14ac:dyDescent="0.25">
      <c r="A474">
        <v>5966</v>
      </c>
      <c r="B474" t="s">
        <v>123</v>
      </c>
      <c r="C474" s="1">
        <v>43831</v>
      </c>
      <c r="D474" s="1">
        <v>44111</v>
      </c>
      <c r="E474">
        <v>134775</v>
      </c>
    </row>
    <row r="475" spans="1:7" x14ac:dyDescent="0.25">
      <c r="A475">
        <v>5966</v>
      </c>
      <c r="B475" t="s">
        <v>123</v>
      </c>
      <c r="C475" s="1">
        <v>44112</v>
      </c>
      <c r="D475" s="1">
        <v>44433</v>
      </c>
      <c r="E475">
        <v>133955</v>
      </c>
    </row>
    <row r="476" spans="1:7" x14ac:dyDescent="0.25">
      <c r="A476">
        <v>5966</v>
      </c>
      <c r="B476" t="s">
        <v>123</v>
      </c>
      <c r="C476" s="1">
        <v>44434</v>
      </c>
      <c r="D476" s="1">
        <v>44826</v>
      </c>
      <c r="E476">
        <v>133362</v>
      </c>
      <c r="F476">
        <v>66810</v>
      </c>
      <c r="G476">
        <v>66552</v>
      </c>
    </row>
    <row r="477" spans="1:7" x14ac:dyDescent="0.25">
      <c r="A477">
        <v>5966</v>
      </c>
      <c r="B477" t="s">
        <v>123</v>
      </c>
      <c r="C477" s="1">
        <v>44827</v>
      </c>
      <c r="D477" s="1">
        <v>117974</v>
      </c>
      <c r="E477">
        <v>133120</v>
      </c>
      <c r="F477">
        <v>66636</v>
      </c>
      <c r="G477">
        <v>66484</v>
      </c>
    </row>
    <row r="478" spans="1:7" x14ac:dyDescent="0.25">
      <c r="A478">
        <v>5970</v>
      </c>
      <c r="B478" t="s">
        <v>124</v>
      </c>
      <c r="C478" s="1">
        <v>43831</v>
      </c>
      <c r="D478" s="1">
        <v>44111</v>
      </c>
      <c r="E478">
        <v>278210</v>
      </c>
    </row>
    <row r="479" spans="1:7" x14ac:dyDescent="0.25">
      <c r="A479">
        <v>5970</v>
      </c>
      <c r="B479" t="s">
        <v>124</v>
      </c>
      <c r="C479" s="1">
        <v>44112</v>
      </c>
      <c r="D479" s="1">
        <v>44433</v>
      </c>
      <c r="E479">
        <v>276944</v>
      </c>
    </row>
    <row r="480" spans="1:7" x14ac:dyDescent="0.25">
      <c r="A480">
        <v>5970</v>
      </c>
      <c r="B480" t="s">
        <v>124</v>
      </c>
      <c r="C480" s="1">
        <v>44434</v>
      </c>
      <c r="D480" s="1">
        <v>44826</v>
      </c>
      <c r="E480">
        <v>275491</v>
      </c>
      <c r="F480">
        <v>136747</v>
      </c>
      <c r="G480">
        <v>138744</v>
      </c>
    </row>
    <row r="481" spans="1:7" x14ac:dyDescent="0.25">
      <c r="A481">
        <v>5970</v>
      </c>
      <c r="B481" t="s">
        <v>124</v>
      </c>
      <c r="C481" s="1">
        <v>44827</v>
      </c>
      <c r="D481" s="1">
        <v>117974</v>
      </c>
      <c r="E481">
        <v>274342</v>
      </c>
      <c r="F481">
        <v>136324</v>
      </c>
      <c r="G481">
        <v>138018</v>
      </c>
    </row>
    <row r="482" spans="1:7" x14ac:dyDescent="0.25">
      <c r="A482">
        <v>5974</v>
      </c>
      <c r="B482" t="s">
        <v>125</v>
      </c>
      <c r="C482" s="1">
        <v>43831</v>
      </c>
      <c r="D482" s="1">
        <v>44111</v>
      </c>
      <c r="E482">
        <v>301902</v>
      </c>
    </row>
    <row r="483" spans="1:7" x14ac:dyDescent="0.25">
      <c r="A483">
        <v>5974</v>
      </c>
      <c r="B483" t="s">
        <v>125</v>
      </c>
      <c r="C483" s="1">
        <v>44112</v>
      </c>
      <c r="D483" s="1">
        <v>44433</v>
      </c>
      <c r="E483">
        <v>301785</v>
      </c>
    </row>
    <row r="484" spans="1:7" x14ac:dyDescent="0.25">
      <c r="A484">
        <v>5974</v>
      </c>
      <c r="B484" t="s">
        <v>125</v>
      </c>
      <c r="C484" s="1">
        <v>44434</v>
      </c>
      <c r="D484" s="1">
        <v>44826</v>
      </c>
      <c r="E484">
        <v>301016</v>
      </c>
      <c r="F484">
        <v>149419</v>
      </c>
      <c r="G484">
        <v>151597</v>
      </c>
    </row>
    <row r="485" spans="1:7" x14ac:dyDescent="0.25">
      <c r="A485">
        <v>5974</v>
      </c>
      <c r="B485" t="s">
        <v>125</v>
      </c>
      <c r="C485" s="1">
        <v>44827</v>
      </c>
      <c r="D485" s="1">
        <v>117974</v>
      </c>
      <c r="E485">
        <v>302298</v>
      </c>
      <c r="F485">
        <v>150239</v>
      </c>
      <c r="G485">
        <v>152059</v>
      </c>
    </row>
    <row r="486" spans="1:7" x14ac:dyDescent="0.25">
      <c r="A486">
        <v>5978</v>
      </c>
      <c r="B486" t="s">
        <v>126</v>
      </c>
      <c r="C486" s="1">
        <v>43831</v>
      </c>
      <c r="D486" s="1">
        <v>44111</v>
      </c>
      <c r="E486">
        <v>394782</v>
      </c>
    </row>
    <row r="487" spans="1:7" x14ac:dyDescent="0.25">
      <c r="A487">
        <v>5978</v>
      </c>
      <c r="B487" t="s">
        <v>126</v>
      </c>
      <c r="C487" s="1">
        <v>44112</v>
      </c>
      <c r="D487" s="1">
        <v>44433</v>
      </c>
      <c r="E487">
        <v>394891</v>
      </c>
    </row>
    <row r="488" spans="1:7" x14ac:dyDescent="0.25">
      <c r="A488">
        <v>5978</v>
      </c>
      <c r="B488" t="s">
        <v>126</v>
      </c>
      <c r="C488" s="1">
        <v>44434</v>
      </c>
      <c r="D488" s="1">
        <v>44826</v>
      </c>
      <c r="E488">
        <v>393618</v>
      </c>
      <c r="F488">
        <v>191749</v>
      </c>
      <c r="G488">
        <v>201869</v>
      </c>
    </row>
    <row r="489" spans="1:7" x14ac:dyDescent="0.25">
      <c r="A489">
        <v>5978</v>
      </c>
      <c r="B489" t="s">
        <v>126</v>
      </c>
      <c r="C489" s="1">
        <v>44827</v>
      </c>
      <c r="D489" s="1">
        <v>117974</v>
      </c>
      <c r="E489">
        <v>393063</v>
      </c>
      <c r="F489">
        <v>191554</v>
      </c>
      <c r="G489">
        <v>201509</v>
      </c>
    </row>
    <row r="490" spans="1:7" x14ac:dyDescent="0.25">
      <c r="A490">
        <v>6</v>
      </c>
      <c r="B490" t="s">
        <v>127</v>
      </c>
      <c r="C490" s="1">
        <v>43831</v>
      </c>
      <c r="D490" s="1">
        <v>44111</v>
      </c>
      <c r="E490">
        <v>6265809</v>
      </c>
    </row>
    <row r="491" spans="1:7" x14ac:dyDescent="0.25">
      <c r="A491">
        <v>6</v>
      </c>
      <c r="B491" t="s">
        <v>127</v>
      </c>
      <c r="C491" s="1">
        <v>44112</v>
      </c>
      <c r="D491" s="1">
        <v>44433</v>
      </c>
      <c r="E491">
        <v>6288080</v>
      </c>
    </row>
    <row r="492" spans="1:7" x14ac:dyDescent="0.25">
      <c r="A492">
        <v>6</v>
      </c>
      <c r="B492" t="s">
        <v>127</v>
      </c>
      <c r="C492" s="1">
        <v>44434</v>
      </c>
      <c r="D492" s="1">
        <v>44826</v>
      </c>
      <c r="E492">
        <v>6293154</v>
      </c>
      <c r="F492">
        <v>3108408</v>
      </c>
      <c r="G492">
        <v>3184746</v>
      </c>
    </row>
    <row r="493" spans="1:7" x14ac:dyDescent="0.25">
      <c r="A493">
        <v>6</v>
      </c>
      <c r="B493" t="s">
        <v>127</v>
      </c>
      <c r="C493" s="1">
        <v>44827</v>
      </c>
      <c r="D493" s="1">
        <v>117974</v>
      </c>
      <c r="E493">
        <v>6295017</v>
      </c>
      <c r="F493">
        <v>3108589</v>
      </c>
      <c r="G493">
        <v>3186428</v>
      </c>
    </row>
    <row r="494" spans="1:7" x14ac:dyDescent="0.25">
      <c r="A494">
        <v>6411</v>
      </c>
      <c r="B494" t="s">
        <v>128</v>
      </c>
      <c r="C494" s="1">
        <v>43831</v>
      </c>
      <c r="D494" s="1">
        <v>44111</v>
      </c>
      <c r="E494">
        <v>159207</v>
      </c>
    </row>
    <row r="495" spans="1:7" x14ac:dyDescent="0.25">
      <c r="A495">
        <v>6411</v>
      </c>
      <c r="B495" t="s">
        <v>128</v>
      </c>
      <c r="C495" s="1">
        <v>44112</v>
      </c>
      <c r="D495" s="1">
        <v>44433</v>
      </c>
      <c r="E495">
        <v>159878</v>
      </c>
    </row>
    <row r="496" spans="1:7" x14ac:dyDescent="0.25">
      <c r="A496">
        <v>6411</v>
      </c>
      <c r="B496" t="s">
        <v>128</v>
      </c>
      <c r="C496" s="1">
        <v>44434</v>
      </c>
      <c r="D496" s="1">
        <v>44826</v>
      </c>
      <c r="E496">
        <v>159174</v>
      </c>
      <c r="F496">
        <v>81048</v>
      </c>
      <c r="G496">
        <v>78126</v>
      </c>
    </row>
    <row r="497" spans="1:7" x14ac:dyDescent="0.25">
      <c r="A497">
        <v>6411</v>
      </c>
      <c r="B497" t="s">
        <v>128</v>
      </c>
      <c r="C497" s="1">
        <v>44827</v>
      </c>
      <c r="D497" s="1">
        <v>117974</v>
      </c>
      <c r="E497">
        <v>159631</v>
      </c>
      <c r="F497">
        <v>81251</v>
      </c>
      <c r="G497">
        <v>78380</v>
      </c>
    </row>
    <row r="498" spans="1:7" x14ac:dyDescent="0.25">
      <c r="A498">
        <v>6412</v>
      </c>
      <c r="B498" t="s">
        <v>129</v>
      </c>
      <c r="C498" s="1">
        <v>43831</v>
      </c>
      <c r="D498" s="1">
        <v>44111</v>
      </c>
      <c r="E498">
        <v>753056</v>
      </c>
    </row>
    <row r="499" spans="1:7" x14ac:dyDescent="0.25">
      <c r="A499">
        <v>6412</v>
      </c>
      <c r="B499" t="s">
        <v>129</v>
      </c>
      <c r="C499" s="1">
        <v>44112</v>
      </c>
      <c r="D499" s="1">
        <v>44433</v>
      </c>
      <c r="E499">
        <v>763380</v>
      </c>
    </row>
    <row r="500" spans="1:7" x14ac:dyDescent="0.25">
      <c r="A500">
        <v>6412</v>
      </c>
      <c r="B500" t="s">
        <v>129</v>
      </c>
      <c r="C500" s="1">
        <v>44434</v>
      </c>
      <c r="D500" s="1">
        <v>44826</v>
      </c>
      <c r="E500">
        <v>764104</v>
      </c>
      <c r="F500">
        <v>377199</v>
      </c>
      <c r="G500">
        <v>386905</v>
      </c>
    </row>
    <row r="501" spans="1:7" x14ac:dyDescent="0.25">
      <c r="A501">
        <v>6412</v>
      </c>
      <c r="B501" t="s">
        <v>129</v>
      </c>
      <c r="C501" s="1">
        <v>44827</v>
      </c>
      <c r="D501" s="1">
        <v>117974</v>
      </c>
      <c r="E501">
        <v>759224</v>
      </c>
      <c r="F501">
        <v>374525</v>
      </c>
      <c r="G501">
        <v>384699</v>
      </c>
    </row>
    <row r="502" spans="1:7" x14ac:dyDescent="0.25">
      <c r="A502">
        <v>6413</v>
      </c>
      <c r="B502" t="s">
        <v>130</v>
      </c>
      <c r="C502" s="1">
        <v>43831</v>
      </c>
      <c r="D502" s="1">
        <v>44111</v>
      </c>
      <c r="E502">
        <v>128744</v>
      </c>
    </row>
    <row r="503" spans="1:7" x14ac:dyDescent="0.25">
      <c r="A503">
        <v>6413</v>
      </c>
      <c r="B503" t="s">
        <v>130</v>
      </c>
      <c r="C503" s="1">
        <v>44112</v>
      </c>
      <c r="D503" s="1">
        <v>44433</v>
      </c>
      <c r="E503">
        <v>130280</v>
      </c>
    </row>
    <row r="504" spans="1:7" x14ac:dyDescent="0.25">
      <c r="A504">
        <v>6413</v>
      </c>
      <c r="B504" t="s">
        <v>130</v>
      </c>
      <c r="C504" s="1">
        <v>44434</v>
      </c>
      <c r="D504" s="1">
        <v>44826</v>
      </c>
      <c r="E504">
        <v>130892</v>
      </c>
      <c r="F504">
        <v>65063</v>
      </c>
      <c r="G504">
        <v>65829</v>
      </c>
    </row>
    <row r="505" spans="1:7" x14ac:dyDescent="0.25">
      <c r="A505">
        <v>6413</v>
      </c>
      <c r="B505" t="s">
        <v>130</v>
      </c>
      <c r="C505" s="1">
        <v>44827</v>
      </c>
      <c r="D505" s="1">
        <v>117974</v>
      </c>
      <c r="E505">
        <v>131295</v>
      </c>
      <c r="F505">
        <v>65222</v>
      </c>
      <c r="G505">
        <v>66073</v>
      </c>
    </row>
    <row r="506" spans="1:7" x14ac:dyDescent="0.25">
      <c r="A506">
        <v>6414</v>
      </c>
      <c r="B506" t="s">
        <v>131</v>
      </c>
      <c r="C506" s="1">
        <v>43831</v>
      </c>
      <c r="D506" s="1">
        <v>44111</v>
      </c>
      <c r="E506">
        <v>278342</v>
      </c>
    </row>
    <row r="507" spans="1:7" x14ac:dyDescent="0.25">
      <c r="A507">
        <v>6414</v>
      </c>
      <c r="B507" t="s">
        <v>131</v>
      </c>
      <c r="C507" s="1">
        <v>44112</v>
      </c>
      <c r="D507" s="1">
        <v>44433</v>
      </c>
      <c r="E507">
        <v>278474</v>
      </c>
    </row>
    <row r="508" spans="1:7" x14ac:dyDescent="0.25">
      <c r="A508">
        <v>6414</v>
      </c>
      <c r="B508" t="s">
        <v>131</v>
      </c>
      <c r="C508" s="1">
        <v>44434</v>
      </c>
      <c r="D508" s="1">
        <v>44826</v>
      </c>
      <c r="E508">
        <v>278609</v>
      </c>
      <c r="F508">
        <v>133265</v>
      </c>
      <c r="G508">
        <v>145344</v>
      </c>
    </row>
    <row r="509" spans="1:7" x14ac:dyDescent="0.25">
      <c r="A509">
        <v>6414</v>
      </c>
      <c r="B509" t="s">
        <v>131</v>
      </c>
      <c r="C509" s="1">
        <v>44827</v>
      </c>
      <c r="D509" s="1">
        <v>117974</v>
      </c>
      <c r="E509">
        <v>278950</v>
      </c>
      <c r="F509">
        <v>133538</v>
      </c>
      <c r="G509">
        <v>145412</v>
      </c>
    </row>
    <row r="510" spans="1:7" x14ac:dyDescent="0.25">
      <c r="A510">
        <v>6431</v>
      </c>
      <c r="B510" t="s">
        <v>132</v>
      </c>
      <c r="C510" s="1">
        <v>43831</v>
      </c>
      <c r="D510" s="1">
        <v>44111</v>
      </c>
      <c r="E510">
        <v>269694</v>
      </c>
    </row>
    <row r="511" spans="1:7" x14ac:dyDescent="0.25">
      <c r="A511">
        <v>6431</v>
      </c>
      <c r="B511" t="s">
        <v>132</v>
      </c>
      <c r="C511" s="1">
        <v>44112</v>
      </c>
      <c r="D511" s="1">
        <v>44433</v>
      </c>
      <c r="E511">
        <v>270340</v>
      </c>
    </row>
    <row r="512" spans="1:7" x14ac:dyDescent="0.25">
      <c r="A512">
        <v>6431</v>
      </c>
      <c r="B512" t="s">
        <v>132</v>
      </c>
      <c r="C512" s="1">
        <v>44434</v>
      </c>
      <c r="D512" s="1">
        <v>44826</v>
      </c>
      <c r="E512">
        <v>271015</v>
      </c>
      <c r="F512">
        <v>134047</v>
      </c>
      <c r="G512">
        <v>136968</v>
      </c>
    </row>
    <row r="513" spans="1:7" x14ac:dyDescent="0.25">
      <c r="A513">
        <v>6431</v>
      </c>
      <c r="B513" t="s">
        <v>132</v>
      </c>
      <c r="C513" s="1">
        <v>44827</v>
      </c>
      <c r="D513" s="1">
        <v>117974</v>
      </c>
      <c r="E513">
        <v>271166</v>
      </c>
      <c r="F513">
        <v>133915</v>
      </c>
      <c r="G513">
        <v>137251</v>
      </c>
    </row>
    <row r="514" spans="1:7" x14ac:dyDescent="0.25">
      <c r="A514">
        <v>6432</v>
      </c>
      <c r="B514" t="s">
        <v>133</v>
      </c>
      <c r="C514" s="1">
        <v>43831</v>
      </c>
      <c r="D514" s="1">
        <v>44111</v>
      </c>
      <c r="E514">
        <v>297399</v>
      </c>
    </row>
    <row r="515" spans="1:7" x14ac:dyDescent="0.25">
      <c r="A515">
        <v>6432</v>
      </c>
      <c r="B515" t="s">
        <v>133</v>
      </c>
      <c r="C515" s="1">
        <v>44112</v>
      </c>
      <c r="D515" s="1">
        <v>44433</v>
      </c>
      <c r="E515">
        <v>297844</v>
      </c>
    </row>
    <row r="516" spans="1:7" x14ac:dyDescent="0.25">
      <c r="A516">
        <v>6432</v>
      </c>
      <c r="B516" t="s">
        <v>133</v>
      </c>
      <c r="C516" s="1">
        <v>44434</v>
      </c>
      <c r="D516" s="1">
        <v>44826</v>
      </c>
      <c r="E516">
        <v>297701</v>
      </c>
      <c r="F516">
        <v>147765</v>
      </c>
      <c r="G516">
        <v>149936</v>
      </c>
    </row>
    <row r="517" spans="1:7" x14ac:dyDescent="0.25">
      <c r="A517">
        <v>6432</v>
      </c>
      <c r="B517" t="s">
        <v>133</v>
      </c>
      <c r="C517" s="1">
        <v>44827</v>
      </c>
      <c r="D517" s="1">
        <v>117974</v>
      </c>
      <c r="E517">
        <v>296900</v>
      </c>
      <c r="F517">
        <v>147308</v>
      </c>
      <c r="G517">
        <v>149592</v>
      </c>
    </row>
    <row r="518" spans="1:7" x14ac:dyDescent="0.25">
      <c r="A518">
        <v>6433</v>
      </c>
      <c r="B518" t="s">
        <v>134</v>
      </c>
      <c r="C518" s="1">
        <v>43831</v>
      </c>
      <c r="D518" s="1">
        <v>44111</v>
      </c>
      <c r="E518">
        <v>274526</v>
      </c>
    </row>
    <row r="519" spans="1:7" x14ac:dyDescent="0.25">
      <c r="A519">
        <v>6433</v>
      </c>
      <c r="B519" t="s">
        <v>134</v>
      </c>
      <c r="C519" s="1">
        <v>44112</v>
      </c>
      <c r="D519" s="1">
        <v>44433</v>
      </c>
      <c r="E519">
        <v>275726</v>
      </c>
    </row>
    <row r="520" spans="1:7" x14ac:dyDescent="0.25">
      <c r="A520">
        <v>6433</v>
      </c>
      <c r="B520" t="s">
        <v>134</v>
      </c>
      <c r="C520" s="1">
        <v>44434</v>
      </c>
      <c r="D520" s="1">
        <v>44826</v>
      </c>
      <c r="E520">
        <v>275807</v>
      </c>
      <c r="F520">
        <v>138154</v>
      </c>
      <c r="G520">
        <v>137653</v>
      </c>
    </row>
    <row r="521" spans="1:7" x14ac:dyDescent="0.25">
      <c r="A521">
        <v>6433</v>
      </c>
      <c r="B521" t="s">
        <v>134</v>
      </c>
      <c r="C521" s="1">
        <v>44827</v>
      </c>
      <c r="D521" s="1">
        <v>117974</v>
      </c>
      <c r="E521">
        <v>276307</v>
      </c>
      <c r="F521">
        <v>138390</v>
      </c>
      <c r="G521">
        <v>137917</v>
      </c>
    </row>
    <row r="522" spans="1:7" x14ac:dyDescent="0.25">
      <c r="A522">
        <v>6434</v>
      </c>
      <c r="B522" t="s">
        <v>135</v>
      </c>
      <c r="C522" s="1">
        <v>43831</v>
      </c>
      <c r="D522" s="1">
        <v>44111</v>
      </c>
      <c r="E522">
        <v>236564</v>
      </c>
    </row>
    <row r="523" spans="1:7" x14ac:dyDescent="0.25">
      <c r="A523">
        <v>6434</v>
      </c>
      <c r="B523" t="s">
        <v>135</v>
      </c>
      <c r="C523" s="1">
        <v>44112</v>
      </c>
      <c r="D523" s="1">
        <v>44433</v>
      </c>
      <c r="E523">
        <v>236914</v>
      </c>
    </row>
    <row r="524" spans="1:7" x14ac:dyDescent="0.25">
      <c r="A524">
        <v>6434</v>
      </c>
      <c r="B524" t="s">
        <v>135</v>
      </c>
      <c r="C524" s="1">
        <v>44434</v>
      </c>
      <c r="D524" s="1">
        <v>44826</v>
      </c>
      <c r="E524">
        <v>237281</v>
      </c>
      <c r="F524">
        <v>115161</v>
      </c>
      <c r="G524">
        <v>122120</v>
      </c>
    </row>
    <row r="525" spans="1:7" x14ac:dyDescent="0.25">
      <c r="A525">
        <v>6434</v>
      </c>
      <c r="B525" t="s">
        <v>135</v>
      </c>
      <c r="C525" s="1">
        <v>44827</v>
      </c>
      <c r="D525" s="1">
        <v>117974</v>
      </c>
      <c r="E525">
        <v>237041</v>
      </c>
      <c r="F525">
        <v>114959</v>
      </c>
      <c r="G525">
        <v>122082</v>
      </c>
    </row>
    <row r="526" spans="1:7" x14ac:dyDescent="0.25">
      <c r="A526">
        <v>6435</v>
      </c>
      <c r="B526" t="s">
        <v>136</v>
      </c>
      <c r="C526" s="1">
        <v>43831</v>
      </c>
      <c r="D526" s="1">
        <v>44111</v>
      </c>
      <c r="E526">
        <v>418950</v>
      </c>
    </row>
    <row r="527" spans="1:7" x14ac:dyDescent="0.25">
      <c r="A527">
        <v>6435</v>
      </c>
      <c r="B527" t="s">
        <v>136</v>
      </c>
      <c r="C527" s="1">
        <v>44112</v>
      </c>
      <c r="D527" s="1">
        <v>44433</v>
      </c>
      <c r="E527">
        <v>420552</v>
      </c>
    </row>
    <row r="528" spans="1:7" x14ac:dyDescent="0.25">
      <c r="A528">
        <v>6435</v>
      </c>
      <c r="B528" t="s">
        <v>136</v>
      </c>
      <c r="C528" s="1">
        <v>44434</v>
      </c>
      <c r="D528" s="1">
        <v>44826</v>
      </c>
      <c r="E528">
        <v>421689</v>
      </c>
      <c r="F528">
        <v>207943</v>
      </c>
      <c r="G528">
        <v>213746</v>
      </c>
    </row>
    <row r="529" spans="1:7" x14ac:dyDescent="0.25">
      <c r="A529">
        <v>6435</v>
      </c>
      <c r="B529" t="s">
        <v>136</v>
      </c>
      <c r="C529" s="1">
        <v>44827</v>
      </c>
      <c r="D529" s="1">
        <v>117974</v>
      </c>
      <c r="E529">
        <v>423465</v>
      </c>
      <c r="F529">
        <v>208904</v>
      </c>
      <c r="G529">
        <v>214561</v>
      </c>
    </row>
    <row r="530" spans="1:7" x14ac:dyDescent="0.25">
      <c r="A530">
        <v>6436</v>
      </c>
      <c r="B530" t="s">
        <v>137</v>
      </c>
      <c r="C530" s="1">
        <v>43831</v>
      </c>
      <c r="D530" s="1">
        <v>44111</v>
      </c>
      <c r="E530">
        <v>237735</v>
      </c>
    </row>
    <row r="531" spans="1:7" x14ac:dyDescent="0.25">
      <c r="A531">
        <v>6436</v>
      </c>
      <c r="B531" t="s">
        <v>137</v>
      </c>
      <c r="C531" s="1">
        <v>44112</v>
      </c>
      <c r="D531" s="1">
        <v>44433</v>
      </c>
      <c r="E531">
        <v>238558</v>
      </c>
    </row>
    <row r="532" spans="1:7" x14ac:dyDescent="0.25">
      <c r="A532">
        <v>6436</v>
      </c>
      <c r="B532" t="s">
        <v>137</v>
      </c>
      <c r="C532" s="1">
        <v>44434</v>
      </c>
      <c r="D532" s="1">
        <v>44826</v>
      </c>
      <c r="E532">
        <v>239264</v>
      </c>
      <c r="F532">
        <v>117253</v>
      </c>
      <c r="G532">
        <v>122011</v>
      </c>
    </row>
    <row r="533" spans="1:7" x14ac:dyDescent="0.25">
      <c r="A533">
        <v>6436</v>
      </c>
      <c r="B533" t="s">
        <v>137</v>
      </c>
      <c r="C533" s="1">
        <v>44827</v>
      </c>
      <c r="D533" s="1">
        <v>117974</v>
      </c>
      <c r="E533">
        <v>239276</v>
      </c>
      <c r="F533">
        <v>117236</v>
      </c>
      <c r="G533">
        <v>122040</v>
      </c>
    </row>
    <row r="534" spans="1:7" x14ac:dyDescent="0.25">
      <c r="A534">
        <v>6437</v>
      </c>
      <c r="B534" t="s">
        <v>138</v>
      </c>
      <c r="C534" s="1">
        <v>43831</v>
      </c>
      <c r="D534" s="1">
        <v>44111</v>
      </c>
      <c r="E534">
        <v>96798</v>
      </c>
    </row>
    <row r="535" spans="1:7" x14ac:dyDescent="0.25">
      <c r="A535">
        <v>6437</v>
      </c>
      <c r="B535" t="s">
        <v>138</v>
      </c>
      <c r="C535" s="1">
        <v>44112</v>
      </c>
      <c r="D535" s="1">
        <v>44433</v>
      </c>
      <c r="E535">
        <v>96703</v>
      </c>
    </row>
    <row r="536" spans="1:7" x14ac:dyDescent="0.25">
      <c r="A536">
        <v>6437</v>
      </c>
      <c r="B536" t="s">
        <v>138</v>
      </c>
      <c r="C536" s="1">
        <v>44434</v>
      </c>
      <c r="D536" s="1">
        <v>44826</v>
      </c>
      <c r="E536">
        <v>96754</v>
      </c>
      <c r="F536">
        <v>47806</v>
      </c>
      <c r="G536">
        <v>48948</v>
      </c>
    </row>
    <row r="537" spans="1:7" x14ac:dyDescent="0.25">
      <c r="A537">
        <v>6437</v>
      </c>
      <c r="B537" t="s">
        <v>138</v>
      </c>
      <c r="C537" s="1">
        <v>44827</v>
      </c>
      <c r="D537" s="1">
        <v>117974</v>
      </c>
      <c r="E537">
        <v>96953</v>
      </c>
      <c r="F537">
        <v>47911</v>
      </c>
      <c r="G537">
        <v>49042</v>
      </c>
    </row>
    <row r="538" spans="1:7" x14ac:dyDescent="0.25">
      <c r="A538">
        <v>6438</v>
      </c>
      <c r="B538" t="s">
        <v>139</v>
      </c>
      <c r="C538" s="1">
        <v>43831</v>
      </c>
      <c r="D538" s="1">
        <v>44111</v>
      </c>
      <c r="E538">
        <v>354092</v>
      </c>
    </row>
    <row r="539" spans="1:7" x14ac:dyDescent="0.25">
      <c r="A539">
        <v>6438</v>
      </c>
      <c r="B539" t="s">
        <v>139</v>
      </c>
      <c r="C539" s="1">
        <v>44112</v>
      </c>
      <c r="D539" s="1">
        <v>44433</v>
      </c>
      <c r="E539">
        <v>355813</v>
      </c>
    </row>
    <row r="540" spans="1:7" x14ac:dyDescent="0.25">
      <c r="A540">
        <v>6438</v>
      </c>
      <c r="B540" t="s">
        <v>139</v>
      </c>
      <c r="C540" s="1">
        <v>44434</v>
      </c>
      <c r="D540" s="1">
        <v>44826</v>
      </c>
      <c r="E540">
        <v>356542</v>
      </c>
      <c r="F540">
        <v>175634</v>
      </c>
      <c r="G540">
        <v>180908</v>
      </c>
    </row>
    <row r="541" spans="1:7" x14ac:dyDescent="0.25">
      <c r="A541">
        <v>6438</v>
      </c>
      <c r="B541" t="s">
        <v>139</v>
      </c>
      <c r="C541" s="1">
        <v>44827</v>
      </c>
      <c r="D541" s="1">
        <v>117974</v>
      </c>
      <c r="E541">
        <v>357466</v>
      </c>
      <c r="F541">
        <v>176079</v>
      </c>
      <c r="G541">
        <v>181387</v>
      </c>
    </row>
    <row r="542" spans="1:7" x14ac:dyDescent="0.25">
      <c r="A542">
        <v>6439</v>
      </c>
      <c r="B542" t="s">
        <v>140</v>
      </c>
      <c r="C542" s="1">
        <v>43831</v>
      </c>
      <c r="D542" s="1">
        <v>44111</v>
      </c>
      <c r="E542">
        <v>187157</v>
      </c>
    </row>
    <row r="543" spans="1:7" x14ac:dyDescent="0.25">
      <c r="A543">
        <v>6439</v>
      </c>
      <c r="B543" t="s">
        <v>140</v>
      </c>
      <c r="C543" s="1">
        <v>44112</v>
      </c>
      <c r="D543" s="1">
        <v>44433</v>
      </c>
      <c r="E543">
        <v>187160</v>
      </c>
    </row>
    <row r="544" spans="1:7" x14ac:dyDescent="0.25">
      <c r="A544">
        <v>6439</v>
      </c>
      <c r="B544" t="s">
        <v>140</v>
      </c>
      <c r="C544" s="1">
        <v>44434</v>
      </c>
      <c r="D544" s="1">
        <v>44826</v>
      </c>
      <c r="E544">
        <v>187433</v>
      </c>
      <c r="F544">
        <v>92092</v>
      </c>
      <c r="G544">
        <v>95341</v>
      </c>
    </row>
    <row r="545" spans="1:7" x14ac:dyDescent="0.25">
      <c r="A545">
        <v>6439</v>
      </c>
      <c r="B545" t="s">
        <v>140</v>
      </c>
      <c r="C545" s="1">
        <v>44827</v>
      </c>
      <c r="D545" s="1">
        <v>117974</v>
      </c>
      <c r="E545">
        <v>187229</v>
      </c>
      <c r="F545">
        <v>91919</v>
      </c>
      <c r="G545">
        <v>95310</v>
      </c>
    </row>
    <row r="546" spans="1:7" x14ac:dyDescent="0.25">
      <c r="A546">
        <v>6440</v>
      </c>
      <c r="B546" t="s">
        <v>141</v>
      </c>
      <c r="C546" s="1">
        <v>43831</v>
      </c>
      <c r="D546" s="1">
        <v>44111</v>
      </c>
      <c r="E546">
        <v>306460</v>
      </c>
    </row>
    <row r="547" spans="1:7" x14ac:dyDescent="0.25">
      <c r="A547">
        <v>6440</v>
      </c>
      <c r="B547" t="s">
        <v>141</v>
      </c>
      <c r="C547" s="1">
        <v>44112</v>
      </c>
      <c r="D547" s="1">
        <v>44433</v>
      </c>
      <c r="E547">
        <v>308339</v>
      </c>
    </row>
    <row r="548" spans="1:7" x14ac:dyDescent="0.25">
      <c r="A548">
        <v>6440</v>
      </c>
      <c r="B548" t="s">
        <v>141</v>
      </c>
      <c r="C548" s="1">
        <v>44434</v>
      </c>
      <c r="D548" s="1">
        <v>44826</v>
      </c>
      <c r="E548">
        <v>310353</v>
      </c>
      <c r="F548">
        <v>153604</v>
      </c>
      <c r="G548">
        <v>156749</v>
      </c>
    </row>
    <row r="549" spans="1:7" x14ac:dyDescent="0.25">
      <c r="A549">
        <v>6440</v>
      </c>
      <c r="B549" t="s">
        <v>141</v>
      </c>
      <c r="C549" s="1">
        <v>44827</v>
      </c>
      <c r="D549" s="1">
        <v>117974</v>
      </c>
      <c r="E549">
        <v>311661</v>
      </c>
      <c r="F549">
        <v>154192</v>
      </c>
      <c r="G549">
        <v>157469</v>
      </c>
    </row>
    <row r="550" spans="1:7" x14ac:dyDescent="0.25">
      <c r="A550">
        <v>6531</v>
      </c>
      <c r="B550" t="s">
        <v>142</v>
      </c>
      <c r="C550" s="1">
        <v>43831</v>
      </c>
      <c r="D550" s="1">
        <v>44111</v>
      </c>
      <c r="E550">
        <v>268876</v>
      </c>
    </row>
    <row r="551" spans="1:7" x14ac:dyDescent="0.25">
      <c r="A551">
        <v>6531</v>
      </c>
      <c r="B551" t="s">
        <v>142</v>
      </c>
      <c r="C551" s="1">
        <v>44112</v>
      </c>
      <c r="D551" s="1">
        <v>44433</v>
      </c>
      <c r="E551">
        <v>270688</v>
      </c>
    </row>
    <row r="552" spans="1:7" x14ac:dyDescent="0.25">
      <c r="A552">
        <v>6531</v>
      </c>
      <c r="B552" t="s">
        <v>142</v>
      </c>
      <c r="C552" s="1">
        <v>44434</v>
      </c>
      <c r="D552" s="1">
        <v>44826</v>
      </c>
      <c r="E552">
        <v>271667</v>
      </c>
      <c r="F552">
        <v>134060</v>
      </c>
      <c r="G552">
        <v>137607</v>
      </c>
    </row>
    <row r="553" spans="1:7" x14ac:dyDescent="0.25">
      <c r="A553">
        <v>6531</v>
      </c>
      <c r="B553" t="s">
        <v>142</v>
      </c>
      <c r="C553" s="1">
        <v>44827</v>
      </c>
      <c r="D553" s="1">
        <v>117974</v>
      </c>
      <c r="E553">
        <v>272874</v>
      </c>
      <c r="F553">
        <v>134692</v>
      </c>
      <c r="G553">
        <v>138182</v>
      </c>
    </row>
    <row r="554" spans="1:7" x14ac:dyDescent="0.25">
      <c r="A554">
        <v>6532</v>
      </c>
      <c r="B554" t="s">
        <v>143</v>
      </c>
      <c r="C554" s="1">
        <v>43831</v>
      </c>
      <c r="D554" s="1">
        <v>44111</v>
      </c>
      <c r="E554">
        <v>253777</v>
      </c>
    </row>
    <row r="555" spans="1:7" x14ac:dyDescent="0.25">
      <c r="A555">
        <v>6532</v>
      </c>
      <c r="B555" t="s">
        <v>143</v>
      </c>
      <c r="C555" s="1">
        <v>44112</v>
      </c>
      <c r="D555" s="1">
        <v>44433</v>
      </c>
      <c r="E555">
        <v>253319</v>
      </c>
    </row>
    <row r="556" spans="1:7" x14ac:dyDescent="0.25">
      <c r="A556">
        <v>6532</v>
      </c>
      <c r="B556" t="s">
        <v>143</v>
      </c>
      <c r="C556" s="1">
        <v>44434</v>
      </c>
      <c r="D556" s="1">
        <v>44826</v>
      </c>
      <c r="E556">
        <v>253373</v>
      </c>
      <c r="F556">
        <v>124944</v>
      </c>
      <c r="G556">
        <v>128429</v>
      </c>
    </row>
    <row r="557" spans="1:7" x14ac:dyDescent="0.25">
      <c r="A557">
        <v>6532</v>
      </c>
      <c r="B557" t="s">
        <v>143</v>
      </c>
      <c r="C557" s="1">
        <v>44827</v>
      </c>
      <c r="D557" s="1">
        <v>117974</v>
      </c>
      <c r="E557">
        <v>253364</v>
      </c>
      <c r="F557">
        <v>124887</v>
      </c>
      <c r="G557">
        <v>128477</v>
      </c>
    </row>
    <row r="558" spans="1:7" x14ac:dyDescent="0.25">
      <c r="A558">
        <v>6533</v>
      </c>
      <c r="B558" t="s">
        <v>144</v>
      </c>
      <c r="C558" s="1">
        <v>43831</v>
      </c>
      <c r="D558" s="1">
        <v>44111</v>
      </c>
      <c r="E558">
        <v>172083</v>
      </c>
    </row>
    <row r="559" spans="1:7" x14ac:dyDescent="0.25">
      <c r="A559">
        <v>6533</v>
      </c>
      <c r="B559" t="s">
        <v>144</v>
      </c>
      <c r="C559" s="1">
        <v>44112</v>
      </c>
      <c r="D559" s="1">
        <v>44433</v>
      </c>
      <c r="E559">
        <v>171912</v>
      </c>
    </row>
    <row r="560" spans="1:7" x14ac:dyDescent="0.25">
      <c r="A560">
        <v>6533</v>
      </c>
      <c r="B560" t="s">
        <v>144</v>
      </c>
      <c r="C560" s="1">
        <v>44434</v>
      </c>
      <c r="D560" s="1">
        <v>44826</v>
      </c>
      <c r="E560">
        <v>172291</v>
      </c>
      <c r="F560">
        <v>85533</v>
      </c>
      <c r="G560">
        <v>86758</v>
      </c>
    </row>
    <row r="561" spans="1:7" x14ac:dyDescent="0.25">
      <c r="A561">
        <v>6533</v>
      </c>
      <c r="B561" t="s">
        <v>144</v>
      </c>
      <c r="C561" s="1">
        <v>44827</v>
      </c>
      <c r="D561" s="1">
        <v>117974</v>
      </c>
      <c r="E561">
        <v>172759</v>
      </c>
      <c r="F561">
        <v>85786</v>
      </c>
      <c r="G561">
        <v>86973</v>
      </c>
    </row>
    <row r="562" spans="1:7" x14ac:dyDescent="0.25">
      <c r="A562">
        <v>6534</v>
      </c>
      <c r="B562" t="s">
        <v>145</v>
      </c>
      <c r="C562" s="1">
        <v>43831</v>
      </c>
      <c r="D562" s="1">
        <v>44111</v>
      </c>
      <c r="E562">
        <v>246648</v>
      </c>
    </row>
    <row r="563" spans="1:7" x14ac:dyDescent="0.25">
      <c r="A563">
        <v>6534</v>
      </c>
      <c r="B563" t="s">
        <v>145</v>
      </c>
      <c r="C563" s="1">
        <v>44112</v>
      </c>
      <c r="D563" s="1">
        <v>44433</v>
      </c>
      <c r="E563">
        <v>247084</v>
      </c>
    </row>
    <row r="564" spans="1:7" x14ac:dyDescent="0.25">
      <c r="A564">
        <v>6534</v>
      </c>
      <c r="B564" t="s">
        <v>145</v>
      </c>
      <c r="C564" s="1">
        <v>44434</v>
      </c>
      <c r="D564" s="1">
        <v>44826</v>
      </c>
      <c r="E564">
        <v>245903</v>
      </c>
      <c r="F564">
        <v>121031</v>
      </c>
      <c r="G564">
        <v>124872</v>
      </c>
    </row>
    <row r="565" spans="1:7" x14ac:dyDescent="0.25">
      <c r="A565">
        <v>6534</v>
      </c>
      <c r="B565" t="s">
        <v>145</v>
      </c>
      <c r="C565" s="1">
        <v>44827</v>
      </c>
      <c r="D565" s="1">
        <v>117974</v>
      </c>
      <c r="E565">
        <v>246097</v>
      </c>
      <c r="F565">
        <v>120944</v>
      </c>
      <c r="G565">
        <v>125153</v>
      </c>
    </row>
    <row r="566" spans="1:7" x14ac:dyDescent="0.25">
      <c r="A566">
        <v>6535</v>
      </c>
      <c r="B566" t="s">
        <v>146</v>
      </c>
      <c r="C566" s="1">
        <v>43831</v>
      </c>
      <c r="D566" s="1">
        <v>44111</v>
      </c>
      <c r="E566">
        <v>105878</v>
      </c>
    </row>
    <row r="567" spans="1:7" x14ac:dyDescent="0.25">
      <c r="A567">
        <v>6535</v>
      </c>
      <c r="B567" t="s">
        <v>146</v>
      </c>
      <c r="C567" s="1">
        <v>44112</v>
      </c>
      <c r="D567" s="1">
        <v>44433</v>
      </c>
      <c r="E567">
        <v>105643</v>
      </c>
    </row>
    <row r="568" spans="1:7" x14ac:dyDescent="0.25">
      <c r="A568">
        <v>6535</v>
      </c>
      <c r="B568" t="s">
        <v>146</v>
      </c>
      <c r="C568" s="1">
        <v>44434</v>
      </c>
      <c r="D568" s="1">
        <v>44826</v>
      </c>
      <c r="E568">
        <v>105506</v>
      </c>
      <c r="F568">
        <v>52728</v>
      </c>
      <c r="G568">
        <v>52778</v>
      </c>
    </row>
    <row r="569" spans="1:7" x14ac:dyDescent="0.25">
      <c r="A569">
        <v>6535</v>
      </c>
      <c r="B569" t="s">
        <v>146</v>
      </c>
      <c r="C569" s="1">
        <v>44827</v>
      </c>
      <c r="D569" s="1">
        <v>117974</v>
      </c>
      <c r="E569">
        <v>105671</v>
      </c>
      <c r="F569">
        <v>52744</v>
      </c>
      <c r="G569">
        <v>52927</v>
      </c>
    </row>
    <row r="570" spans="1:7" x14ac:dyDescent="0.25">
      <c r="A570">
        <v>6611</v>
      </c>
      <c r="B570" t="s">
        <v>147</v>
      </c>
      <c r="C570" s="1">
        <v>43831</v>
      </c>
      <c r="D570" s="1">
        <v>44111</v>
      </c>
      <c r="E570">
        <v>201585</v>
      </c>
    </row>
    <row r="571" spans="1:7" x14ac:dyDescent="0.25">
      <c r="A571">
        <v>6611</v>
      </c>
      <c r="B571" t="s">
        <v>147</v>
      </c>
      <c r="C571" s="1">
        <v>44112</v>
      </c>
      <c r="D571" s="1">
        <v>44433</v>
      </c>
      <c r="E571">
        <v>202137</v>
      </c>
    </row>
    <row r="572" spans="1:7" x14ac:dyDescent="0.25">
      <c r="A572">
        <v>6611</v>
      </c>
      <c r="B572" t="s">
        <v>147</v>
      </c>
      <c r="C572" s="1">
        <v>44434</v>
      </c>
      <c r="D572" s="1">
        <v>44826</v>
      </c>
      <c r="E572">
        <v>201048</v>
      </c>
      <c r="F572">
        <v>98897</v>
      </c>
      <c r="G572">
        <v>102151</v>
      </c>
    </row>
    <row r="573" spans="1:7" x14ac:dyDescent="0.25">
      <c r="A573">
        <v>6611</v>
      </c>
      <c r="B573" t="s">
        <v>147</v>
      </c>
      <c r="C573" s="1">
        <v>44827</v>
      </c>
      <c r="D573" s="1">
        <v>117974</v>
      </c>
      <c r="E573">
        <v>200406</v>
      </c>
      <c r="F573">
        <v>98639</v>
      </c>
      <c r="G573">
        <v>101767</v>
      </c>
    </row>
    <row r="574" spans="1:7" x14ac:dyDescent="0.25">
      <c r="A574">
        <v>6631</v>
      </c>
      <c r="B574" t="s">
        <v>148</v>
      </c>
      <c r="C574" s="1">
        <v>43831</v>
      </c>
      <c r="D574" s="1">
        <v>44111</v>
      </c>
      <c r="E574">
        <v>222584</v>
      </c>
    </row>
    <row r="575" spans="1:7" x14ac:dyDescent="0.25">
      <c r="A575">
        <v>6631</v>
      </c>
      <c r="B575" t="s">
        <v>148</v>
      </c>
      <c r="C575" s="1">
        <v>44112</v>
      </c>
      <c r="D575" s="1">
        <v>44433</v>
      </c>
      <c r="E575">
        <v>223145</v>
      </c>
    </row>
    <row r="576" spans="1:7" x14ac:dyDescent="0.25">
      <c r="A576">
        <v>6631</v>
      </c>
      <c r="B576" t="s">
        <v>148</v>
      </c>
      <c r="C576" s="1">
        <v>44434</v>
      </c>
      <c r="D576" s="1">
        <v>44826</v>
      </c>
      <c r="E576">
        <v>223023</v>
      </c>
      <c r="F576">
        <v>110769</v>
      </c>
      <c r="G576">
        <v>112254</v>
      </c>
    </row>
    <row r="577" spans="1:7" x14ac:dyDescent="0.25">
      <c r="A577">
        <v>6631</v>
      </c>
      <c r="B577" t="s">
        <v>148</v>
      </c>
      <c r="C577" s="1">
        <v>44827</v>
      </c>
      <c r="D577" s="1">
        <v>117974</v>
      </c>
      <c r="E577">
        <v>223572</v>
      </c>
      <c r="F577">
        <v>111181</v>
      </c>
      <c r="G577">
        <v>112391</v>
      </c>
    </row>
    <row r="578" spans="1:7" x14ac:dyDescent="0.25">
      <c r="A578">
        <v>6632</v>
      </c>
      <c r="B578" t="s">
        <v>149</v>
      </c>
      <c r="C578" s="1">
        <v>43831</v>
      </c>
      <c r="D578" s="1">
        <v>44111</v>
      </c>
      <c r="E578">
        <v>120829</v>
      </c>
    </row>
    <row r="579" spans="1:7" x14ac:dyDescent="0.25">
      <c r="A579">
        <v>6632</v>
      </c>
      <c r="B579" t="s">
        <v>149</v>
      </c>
      <c r="C579" s="1">
        <v>44112</v>
      </c>
      <c r="D579" s="1">
        <v>44433</v>
      </c>
      <c r="E579">
        <v>120719</v>
      </c>
    </row>
    <row r="580" spans="1:7" x14ac:dyDescent="0.25">
      <c r="A580">
        <v>6632</v>
      </c>
      <c r="B580" t="s">
        <v>149</v>
      </c>
      <c r="C580" s="1">
        <v>44434</v>
      </c>
      <c r="D580" s="1">
        <v>44826</v>
      </c>
      <c r="E580">
        <v>120304</v>
      </c>
      <c r="F580">
        <v>60363</v>
      </c>
      <c r="G580">
        <v>59941</v>
      </c>
    </row>
    <row r="581" spans="1:7" x14ac:dyDescent="0.25">
      <c r="A581">
        <v>6632</v>
      </c>
      <c r="B581" t="s">
        <v>149</v>
      </c>
      <c r="C581" s="1">
        <v>44827</v>
      </c>
      <c r="D581" s="1">
        <v>117974</v>
      </c>
      <c r="E581">
        <v>120163</v>
      </c>
      <c r="F581">
        <v>60242</v>
      </c>
      <c r="G581">
        <v>59921</v>
      </c>
    </row>
    <row r="582" spans="1:7" x14ac:dyDescent="0.25">
      <c r="A582">
        <v>6633</v>
      </c>
      <c r="B582" t="s">
        <v>150</v>
      </c>
      <c r="C582" s="1">
        <v>43831</v>
      </c>
      <c r="D582" s="1">
        <v>44111</v>
      </c>
      <c r="E582">
        <v>236633</v>
      </c>
    </row>
    <row r="583" spans="1:7" x14ac:dyDescent="0.25">
      <c r="A583">
        <v>6633</v>
      </c>
      <c r="B583" t="s">
        <v>150</v>
      </c>
      <c r="C583" s="1">
        <v>44112</v>
      </c>
      <c r="D583" s="1">
        <v>44433</v>
      </c>
      <c r="E583">
        <v>236764</v>
      </c>
    </row>
    <row r="584" spans="1:7" x14ac:dyDescent="0.25">
      <c r="A584">
        <v>6633</v>
      </c>
      <c r="B584" t="s">
        <v>150</v>
      </c>
      <c r="C584" s="1">
        <v>44434</v>
      </c>
      <c r="D584" s="1">
        <v>44826</v>
      </c>
      <c r="E584">
        <v>237007</v>
      </c>
      <c r="F584">
        <v>116369</v>
      </c>
      <c r="G584">
        <v>120638</v>
      </c>
    </row>
    <row r="585" spans="1:7" x14ac:dyDescent="0.25">
      <c r="A585">
        <v>6633</v>
      </c>
      <c r="B585" t="s">
        <v>150</v>
      </c>
      <c r="C585" s="1">
        <v>44827</v>
      </c>
      <c r="D585" s="1">
        <v>117974</v>
      </c>
      <c r="E585">
        <v>237268</v>
      </c>
      <c r="F585">
        <v>116452</v>
      </c>
      <c r="G585">
        <v>120816</v>
      </c>
    </row>
    <row r="586" spans="1:7" x14ac:dyDescent="0.25">
      <c r="A586">
        <v>6634</v>
      </c>
      <c r="B586" t="s">
        <v>151</v>
      </c>
      <c r="C586" s="1">
        <v>43831</v>
      </c>
      <c r="D586" s="1">
        <v>44111</v>
      </c>
      <c r="E586">
        <v>180222</v>
      </c>
    </row>
    <row r="587" spans="1:7" x14ac:dyDescent="0.25">
      <c r="A587">
        <v>6634</v>
      </c>
      <c r="B587" t="s">
        <v>151</v>
      </c>
      <c r="C587" s="1">
        <v>44112</v>
      </c>
      <c r="D587" s="1">
        <v>44433</v>
      </c>
      <c r="E587">
        <v>179673</v>
      </c>
    </row>
    <row r="588" spans="1:7" x14ac:dyDescent="0.25">
      <c r="A588">
        <v>6634</v>
      </c>
      <c r="B588" t="s">
        <v>151</v>
      </c>
      <c r="C588" s="1">
        <v>44434</v>
      </c>
      <c r="D588" s="1">
        <v>44826</v>
      </c>
      <c r="E588">
        <v>179840</v>
      </c>
      <c r="F588">
        <v>90114</v>
      </c>
      <c r="G588">
        <v>89726</v>
      </c>
    </row>
    <row r="589" spans="1:7" x14ac:dyDescent="0.25">
      <c r="A589">
        <v>6634</v>
      </c>
      <c r="B589" t="s">
        <v>151</v>
      </c>
      <c r="C589" s="1">
        <v>44827</v>
      </c>
      <c r="D589" s="1">
        <v>117974</v>
      </c>
      <c r="E589">
        <v>180052</v>
      </c>
      <c r="F589">
        <v>90256</v>
      </c>
      <c r="G589">
        <v>89796</v>
      </c>
    </row>
    <row r="590" spans="1:7" x14ac:dyDescent="0.25">
      <c r="A590">
        <v>6635</v>
      </c>
      <c r="B590" t="s">
        <v>152</v>
      </c>
      <c r="C590" s="1">
        <v>43831</v>
      </c>
      <c r="D590" s="1">
        <v>44111</v>
      </c>
      <c r="E590">
        <v>156953</v>
      </c>
    </row>
    <row r="591" spans="1:7" x14ac:dyDescent="0.25">
      <c r="A591">
        <v>6635</v>
      </c>
      <c r="B591" t="s">
        <v>152</v>
      </c>
      <c r="C591" s="1">
        <v>44112</v>
      </c>
      <c r="D591" s="1">
        <v>44433</v>
      </c>
      <c r="E591">
        <v>156406</v>
      </c>
    </row>
    <row r="592" spans="1:7" x14ac:dyDescent="0.25">
      <c r="A592">
        <v>6635</v>
      </c>
      <c r="B592" t="s">
        <v>152</v>
      </c>
      <c r="C592" s="1">
        <v>44434</v>
      </c>
      <c r="D592" s="1">
        <v>44826</v>
      </c>
      <c r="E592">
        <v>156528</v>
      </c>
      <c r="F592">
        <v>77946</v>
      </c>
      <c r="G592">
        <v>78582</v>
      </c>
    </row>
    <row r="593" spans="1:7" x14ac:dyDescent="0.25">
      <c r="A593">
        <v>6635</v>
      </c>
      <c r="B593" t="s">
        <v>152</v>
      </c>
      <c r="C593" s="1">
        <v>44827</v>
      </c>
      <c r="D593" s="1">
        <v>117974</v>
      </c>
      <c r="E593">
        <v>156513</v>
      </c>
      <c r="F593">
        <v>78038</v>
      </c>
      <c r="G593">
        <v>78475</v>
      </c>
    </row>
    <row r="594" spans="1:7" x14ac:dyDescent="0.25">
      <c r="A594">
        <v>6636</v>
      </c>
      <c r="B594" t="s">
        <v>153</v>
      </c>
      <c r="C594" s="1">
        <v>43831</v>
      </c>
      <c r="D594" s="1">
        <v>44111</v>
      </c>
      <c r="E594">
        <v>101017</v>
      </c>
    </row>
    <row r="595" spans="1:7" x14ac:dyDescent="0.25">
      <c r="A595">
        <v>6636</v>
      </c>
      <c r="B595" t="s">
        <v>153</v>
      </c>
      <c r="C595" s="1">
        <v>44112</v>
      </c>
      <c r="D595" s="1">
        <v>44433</v>
      </c>
      <c r="E595">
        <v>100629</v>
      </c>
    </row>
    <row r="596" spans="1:7" x14ac:dyDescent="0.25">
      <c r="A596">
        <v>6636</v>
      </c>
      <c r="B596" t="s">
        <v>153</v>
      </c>
      <c r="C596" s="1">
        <v>44434</v>
      </c>
      <c r="D596" s="1">
        <v>44826</v>
      </c>
      <c r="E596">
        <v>100046</v>
      </c>
      <c r="F596">
        <v>49620</v>
      </c>
      <c r="G596">
        <v>50426</v>
      </c>
    </row>
    <row r="597" spans="1:7" x14ac:dyDescent="0.25">
      <c r="A597">
        <v>6636</v>
      </c>
      <c r="B597" t="s">
        <v>153</v>
      </c>
      <c r="C597" s="1">
        <v>44827</v>
      </c>
      <c r="D597" s="1">
        <v>117974</v>
      </c>
      <c r="E597">
        <v>99714</v>
      </c>
      <c r="F597">
        <v>49379</v>
      </c>
      <c r="G597">
        <v>50335</v>
      </c>
    </row>
    <row r="598" spans="1:7" x14ac:dyDescent="0.25">
      <c r="A598">
        <v>7</v>
      </c>
      <c r="B598" t="s">
        <v>154</v>
      </c>
      <c r="C598" s="1">
        <v>43831</v>
      </c>
      <c r="D598" s="1">
        <v>44111</v>
      </c>
      <c r="E598">
        <v>4084844</v>
      </c>
    </row>
    <row r="599" spans="1:7" x14ac:dyDescent="0.25">
      <c r="A599">
        <v>7</v>
      </c>
      <c r="B599" t="s">
        <v>154</v>
      </c>
      <c r="C599" s="1">
        <v>44112</v>
      </c>
      <c r="D599" s="1">
        <v>44433</v>
      </c>
      <c r="E599">
        <v>4093903</v>
      </c>
    </row>
    <row r="600" spans="1:7" x14ac:dyDescent="0.25">
      <c r="A600">
        <v>7</v>
      </c>
      <c r="B600" t="s">
        <v>154</v>
      </c>
      <c r="C600" s="1">
        <v>44434</v>
      </c>
      <c r="D600" s="1">
        <v>44826</v>
      </c>
      <c r="E600">
        <v>4098391</v>
      </c>
      <c r="F600">
        <v>2026105</v>
      </c>
      <c r="G600">
        <v>2072286</v>
      </c>
    </row>
    <row r="601" spans="1:7" x14ac:dyDescent="0.25">
      <c r="A601">
        <v>7</v>
      </c>
      <c r="B601" t="s">
        <v>154</v>
      </c>
      <c r="C601" s="1">
        <v>44827</v>
      </c>
      <c r="D601" s="1">
        <v>117974</v>
      </c>
      <c r="E601">
        <v>4106485</v>
      </c>
      <c r="F601">
        <v>2030323</v>
      </c>
      <c r="G601">
        <v>2076162</v>
      </c>
    </row>
    <row r="602" spans="1:7" x14ac:dyDescent="0.25">
      <c r="A602">
        <v>7111</v>
      </c>
      <c r="B602" t="s">
        <v>155</v>
      </c>
      <c r="C602" s="1">
        <v>43831</v>
      </c>
      <c r="D602" s="1">
        <v>44111</v>
      </c>
      <c r="E602">
        <v>114024</v>
      </c>
    </row>
    <row r="603" spans="1:7" x14ac:dyDescent="0.25">
      <c r="A603">
        <v>7111</v>
      </c>
      <c r="B603" t="s">
        <v>155</v>
      </c>
      <c r="C603" s="1">
        <v>44112</v>
      </c>
      <c r="D603" s="1">
        <v>44433</v>
      </c>
      <c r="E603">
        <v>114052</v>
      </c>
    </row>
    <row r="604" spans="1:7" x14ac:dyDescent="0.25">
      <c r="A604">
        <v>7111</v>
      </c>
      <c r="B604" t="s">
        <v>155</v>
      </c>
      <c r="C604" s="1">
        <v>44434</v>
      </c>
      <c r="D604" s="1">
        <v>44826</v>
      </c>
      <c r="E604">
        <v>113388</v>
      </c>
      <c r="F604">
        <v>55537</v>
      </c>
      <c r="G604">
        <v>57851</v>
      </c>
    </row>
    <row r="605" spans="1:7" x14ac:dyDescent="0.25">
      <c r="A605">
        <v>7111</v>
      </c>
      <c r="B605" t="s">
        <v>155</v>
      </c>
      <c r="C605" s="1">
        <v>44827</v>
      </c>
      <c r="D605" s="1">
        <v>117974</v>
      </c>
      <c r="E605">
        <v>113638</v>
      </c>
      <c r="F605">
        <v>55693</v>
      </c>
      <c r="G605">
        <v>57945</v>
      </c>
    </row>
    <row r="606" spans="1:7" x14ac:dyDescent="0.25">
      <c r="A606">
        <v>7131</v>
      </c>
      <c r="B606" t="s">
        <v>156</v>
      </c>
      <c r="C606" s="1">
        <v>43831</v>
      </c>
      <c r="D606" s="1">
        <v>44111</v>
      </c>
      <c r="E606">
        <v>129727</v>
      </c>
    </row>
    <row r="607" spans="1:7" x14ac:dyDescent="0.25">
      <c r="A607">
        <v>7131</v>
      </c>
      <c r="B607" t="s">
        <v>156</v>
      </c>
      <c r="C607" s="1">
        <v>44112</v>
      </c>
      <c r="D607" s="1">
        <v>44433</v>
      </c>
      <c r="E607">
        <v>130086</v>
      </c>
    </row>
    <row r="608" spans="1:7" x14ac:dyDescent="0.25">
      <c r="A608">
        <v>7131</v>
      </c>
      <c r="B608" t="s">
        <v>156</v>
      </c>
      <c r="C608" s="1">
        <v>44434</v>
      </c>
      <c r="D608" s="1">
        <v>44826</v>
      </c>
      <c r="E608">
        <v>130479</v>
      </c>
      <c r="F608">
        <v>64344</v>
      </c>
      <c r="G608">
        <v>66135</v>
      </c>
    </row>
    <row r="609" spans="1:7" x14ac:dyDescent="0.25">
      <c r="A609">
        <v>7131</v>
      </c>
      <c r="B609" t="s">
        <v>156</v>
      </c>
      <c r="C609" s="1">
        <v>44827</v>
      </c>
      <c r="D609" s="1">
        <v>117974</v>
      </c>
      <c r="E609">
        <v>128146</v>
      </c>
      <c r="F609">
        <v>63298</v>
      </c>
      <c r="G609">
        <v>64848</v>
      </c>
    </row>
    <row r="610" spans="1:7" x14ac:dyDescent="0.25">
      <c r="A610">
        <v>7132</v>
      </c>
      <c r="B610" t="s">
        <v>157</v>
      </c>
      <c r="C610" s="1">
        <v>43831</v>
      </c>
      <c r="D610" s="1">
        <v>44111</v>
      </c>
      <c r="E610">
        <v>128705</v>
      </c>
    </row>
    <row r="611" spans="1:7" x14ac:dyDescent="0.25">
      <c r="A611">
        <v>7132</v>
      </c>
      <c r="B611" t="s">
        <v>157</v>
      </c>
      <c r="C611" s="1">
        <v>44112</v>
      </c>
      <c r="D611" s="1">
        <v>44433</v>
      </c>
      <c r="E611">
        <v>128805</v>
      </c>
    </row>
    <row r="612" spans="1:7" x14ac:dyDescent="0.25">
      <c r="A612">
        <v>7132</v>
      </c>
      <c r="B612" t="s">
        <v>157</v>
      </c>
      <c r="C612" s="1">
        <v>44434</v>
      </c>
      <c r="D612" s="1">
        <v>44826</v>
      </c>
      <c r="E612">
        <v>129087</v>
      </c>
      <c r="F612">
        <v>63943</v>
      </c>
      <c r="G612">
        <v>65144</v>
      </c>
    </row>
    <row r="613" spans="1:7" x14ac:dyDescent="0.25">
      <c r="A613">
        <v>7132</v>
      </c>
      <c r="B613" t="s">
        <v>157</v>
      </c>
      <c r="C613" s="1">
        <v>44827</v>
      </c>
      <c r="D613" s="1">
        <v>117974</v>
      </c>
      <c r="E613">
        <v>129261</v>
      </c>
      <c r="F613">
        <v>64066</v>
      </c>
      <c r="G613">
        <v>65195</v>
      </c>
    </row>
    <row r="614" spans="1:7" x14ac:dyDescent="0.25">
      <c r="A614">
        <v>7133</v>
      </c>
      <c r="B614" t="s">
        <v>158</v>
      </c>
      <c r="C614" s="1">
        <v>43831</v>
      </c>
      <c r="D614" s="1">
        <v>44111</v>
      </c>
      <c r="E614">
        <v>158080</v>
      </c>
    </row>
    <row r="615" spans="1:7" x14ac:dyDescent="0.25">
      <c r="A615">
        <v>7133</v>
      </c>
      <c r="B615" t="s">
        <v>158</v>
      </c>
      <c r="C615" s="1">
        <v>44112</v>
      </c>
      <c r="D615" s="1">
        <v>44433</v>
      </c>
      <c r="E615">
        <v>158345</v>
      </c>
    </row>
    <row r="616" spans="1:7" x14ac:dyDescent="0.25">
      <c r="A616">
        <v>7133</v>
      </c>
      <c r="B616" t="s">
        <v>158</v>
      </c>
      <c r="C616" s="1">
        <v>44434</v>
      </c>
      <c r="D616" s="1">
        <v>44826</v>
      </c>
      <c r="E616">
        <v>158746</v>
      </c>
      <c r="F616">
        <v>77549</v>
      </c>
      <c r="G616">
        <v>81197</v>
      </c>
    </row>
    <row r="617" spans="1:7" x14ac:dyDescent="0.25">
      <c r="A617">
        <v>7133</v>
      </c>
      <c r="B617" t="s">
        <v>158</v>
      </c>
      <c r="C617" s="1">
        <v>44827</v>
      </c>
      <c r="D617" s="1">
        <v>117974</v>
      </c>
      <c r="E617">
        <v>159402</v>
      </c>
      <c r="F617">
        <v>77861</v>
      </c>
      <c r="G617">
        <v>81541</v>
      </c>
    </row>
    <row r="618" spans="1:7" x14ac:dyDescent="0.25">
      <c r="A618">
        <v>7134</v>
      </c>
      <c r="B618" t="s">
        <v>159</v>
      </c>
      <c r="C618" s="1">
        <v>43831</v>
      </c>
      <c r="D618" s="1">
        <v>44111</v>
      </c>
      <c r="E618">
        <v>80720</v>
      </c>
    </row>
    <row r="619" spans="1:7" x14ac:dyDescent="0.25">
      <c r="A619">
        <v>7134</v>
      </c>
      <c r="B619" t="s">
        <v>159</v>
      </c>
      <c r="C619" s="1">
        <v>44112</v>
      </c>
      <c r="D619" s="1">
        <v>44433</v>
      </c>
      <c r="E619">
        <v>80951</v>
      </c>
    </row>
    <row r="620" spans="1:7" x14ac:dyDescent="0.25">
      <c r="A620">
        <v>7134</v>
      </c>
      <c r="B620" t="s">
        <v>159</v>
      </c>
      <c r="C620" s="1">
        <v>44434</v>
      </c>
      <c r="D620" s="1">
        <v>44826</v>
      </c>
      <c r="E620">
        <v>80830</v>
      </c>
      <c r="F620">
        <v>40087</v>
      </c>
      <c r="G620">
        <v>40743</v>
      </c>
    </row>
    <row r="621" spans="1:7" x14ac:dyDescent="0.25">
      <c r="A621">
        <v>7134</v>
      </c>
      <c r="B621" t="s">
        <v>159</v>
      </c>
      <c r="C621" s="1">
        <v>44827</v>
      </c>
      <c r="D621" s="1">
        <v>117974</v>
      </c>
      <c r="E621">
        <v>80849</v>
      </c>
      <c r="F621">
        <v>40113</v>
      </c>
      <c r="G621">
        <v>40736</v>
      </c>
    </row>
    <row r="622" spans="1:7" x14ac:dyDescent="0.25">
      <c r="A622">
        <v>7135</v>
      </c>
      <c r="B622" t="s">
        <v>160</v>
      </c>
      <c r="C622" s="1">
        <v>43831</v>
      </c>
      <c r="D622" s="1">
        <v>44111</v>
      </c>
      <c r="E622">
        <v>61587</v>
      </c>
    </row>
    <row r="623" spans="1:7" x14ac:dyDescent="0.25">
      <c r="A623">
        <v>7135</v>
      </c>
      <c r="B623" t="s">
        <v>160</v>
      </c>
      <c r="C623" s="1">
        <v>44112</v>
      </c>
      <c r="D623" s="1">
        <v>44433</v>
      </c>
      <c r="E623">
        <v>61375</v>
      </c>
    </row>
    <row r="624" spans="1:7" x14ac:dyDescent="0.25">
      <c r="A624">
        <v>7135</v>
      </c>
      <c r="B624" t="s">
        <v>160</v>
      </c>
      <c r="C624" s="1">
        <v>44434</v>
      </c>
      <c r="D624" s="1">
        <v>44826</v>
      </c>
      <c r="E624">
        <v>61578</v>
      </c>
      <c r="F624">
        <v>30858</v>
      </c>
      <c r="G624">
        <v>30720</v>
      </c>
    </row>
    <row r="625" spans="1:7" x14ac:dyDescent="0.25">
      <c r="A625">
        <v>7135</v>
      </c>
      <c r="B625" t="s">
        <v>160</v>
      </c>
      <c r="C625" s="1">
        <v>44827</v>
      </c>
      <c r="D625" s="1">
        <v>117974</v>
      </c>
      <c r="E625">
        <v>61735</v>
      </c>
      <c r="F625">
        <v>30994</v>
      </c>
      <c r="G625">
        <v>30741</v>
      </c>
    </row>
    <row r="626" spans="1:7" x14ac:dyDescent="0.25">
      <c r="A626">
        <v>7137</v>
      </c>
      <c r="B626" t="s">
        <v>161</v>
      </c>
      <c r="C626" s="1">
        <v>43831</v>
      </c>
      <c r="D626" s="1">
        <v>44111</v>
      </c>
      <c r="E626">
        <v>214259</v>
      </c>
    </row>
    <row r="627" spans="1:7" x14ac:dyDescent="0.25">
      <c r="A627">
        <v>7137</v>
      </c>
      <c r="B627" t="s">
        <v>161</v>
      </c>
      <c r="C627" s="1">
        <v>44112</v>
      </c>
      <c r="D627" s="1">
        <v>44433</v>
      </c>
      <c r="E627">
        <v>214434</v>
      </c>
    </row>
    <row r="628" spans="1:7" x14ac:dyDescent="0.25">
      <c r="A628">
        <v>7137</v>
      </c>
      <c r="B628" t="s">
        <v>161</v>
      </c>
      <c r="C628" s="1">
        <v>44434</v>
      </c>
      <c r="D628" s="1">
        <v>44826</v>
      </c>
      <c r="E628">
        <v>214786</v>
      </c>
      <c r="F628">
        <v>106162</v>
      </c>
      <c r="G628">
        <v>108624</v>
      </c>
    </row>
    <row r="629" spans="1:7" x14ac:dyDescent="0.25">
      <c r="A629">
        <v>7137</v>
      </c>
      <c r="B629" t="s">
        <v>161</v>
      </c>
      <c r="C629" s="1">
        <v>44827</v>
      </c>
      <c r="D629" s="1">
        <v>117974</v>
      </c>
      <c r="E629">
        <v>215446</v>
      </c>
      <c r="F629">
        <v>106524</v>
      </c>
      <c r="G629">
        <v>108922</v>
      </c>
    </row>
    <row r="630" spans="1:7" x14ac:dyDescent="0.25">
      <c r="A630">
        <v>7138</v>
      </c>
      <c r="B630" t="s">
        <v>162</v>
      </c>
      <c r="C630" s="1">
        <v>43831</v>
      </c>
      <c r="D630" s="1">
        <v>44111</v>
      </c>
      <c r="E630">
        <v>181941</v>
      </c>
    </row>
    <row r="631" spans="1:7" x14ac:dyDescent="0.25">
      <c r="A631">
        <v>7138</v>
      </c>
      <c r="B631" t="s">
        <v>162</v>
      </c>
      <c r="C631" s="1">
        <v>44112</v>
      </c>
      <c r="D631" s="1">
        <v>44433</v>
      </c>
      <c r="E631">
        <v>182811</v>
      </c>
    </row>
    <row r="632" spans="1:7" x14ac:dyDescent="0.25">
      <c r="A632">
        <v>7138</v>
      </c>
      <c r="B632" t="s">
        <v>162</v>
      </c>
      <c r="C632" s="1">
        <v>44434</v>
      </c>
      <c r="D632" s="1">
        <v>44826</v>
      </c>
      <c r="E632">
        <v>183131</v>
      </c>
      <c r="F632">
        <v>90251</v>
      </c>
      <c r="G632">
        <v>92880</v>
      </c>
    </row>
    <row r="633" spans="1:7" x14ac:dyDescent="0.25">
      <c r="A633">
        <v>7138</v>
      </c>
      <c r="B633" t="s">
        <v>162</v>
      </c>
      <c r="C633" s="1">
        <v>44827</v>
      </c>
      <c r="D633" s="1">
        <v>117974</v>
      </c>
      <c r="E633">
        <v>184390</v>
      </c>
      <c r="F633">
        <v>90902</v>
      </c>
      <c r="G633">
        <v>93488</v>
      </c>
    </row>
    <row r="634" spans="1:7" x14ac:dyDescent="0.25">
      <c r="A634">
        <v>7140</v>
      </c>
      <c r="B634" t="s">
        <v>163</v>
      </c>
      <c r="C634" s="1">
        <v>43831</v>
      </c>
      <c r="D634" s="1">
        <v>44111</v>
      </c>
      <c r="E634">
        <v>102937</v>
      </c>
    </row>
    <row r="635" spans="1:7" x14ac:dyDescent="0.25">
      <c r="A635">
        <v>7140</v>
      </c>
      <c r="B635" t="s">
        <v>163</v>
      </c>
      <c r="C635" s="1">
        <v>44112</v>
      </c>
      <c r="D635" s="1">
        <v>44433</v>
      </c>
      <c r="E635">
        <v>103163</v>
      </c>
    </row>
    <row r="636" spans="1:7" x14ac:dyDescent="0.25">
      <c r="A636">
        <v>7140</v>
      </c>
      <c r="B636" t="s">
        <v>163</v>
      </c>
      <c r="C636" s="1">
        <v>44434</v>
      </c>
      <c r="D636" s="1">
        <v>44826</v>
      </c>
      <c r="E636">
        <v>103401</v>
      </c>
      <c r="F636">
        <v>51432</v>
      </c>
      <c r="G636">
        <v>51969</v>
      </c>
    </row>
    <row r="637" spans="1:7" x14ac:dyDescent="0.25">
      <c r="A637">
        <v>7140</v>
      </c>
      <c r="B637" t="s">
        <v>163</v>
      </c>
      <c r="C637" s="1">
        <v>44827</v>
      </c>
      <c r="D637" s="1">
        <v>117974</v>
      </c>
      <c r="E637">
        <v>103767</v>
      </c>
      <c r="F637">
        <v>51609</v>
      </c>
      <c r="G637">
        <v>52158</v>
      </c>
    </row>
    <row r="638" spans="1:7" x14ac:dyDescent="0.25">
      <c r="A638">
        <v>7141</v>
      </c>
      <c r="B638" t="s">
        <v>164</v>
      </c>
      <c r="C638" s="1">
        <v>43831</v>
      </c>
      <c r="D638" s="1">
        <v>44111</v>
      </c>
      <c r="E638">
        <v>122308</v>
      </c>
    </row>
    <row r="639" spans="1:7" x14ac:dyDescent="0.25">
      <c r="A639">
        <v>7141</v>
      </c>
      <c r="B639" t="s">
        <v>164</v>
      </c>
      <c r="C639" s="1">
        <v>44112</v>
      </c>
      <c r="D639" s="1">
        <v>44433</v>
      </c>
      <c r="E639">
        <v>122297</v>
      </c>
    </row>
    <row r="640" spans="1:7" x14ac:dyDescent="0.25">
      <c r="A640">
        <v>7141</v>
      </c>
      <c r="B640" t="s">
        <v>164</v>
      </c>
      <c r="C640" s="1">
        <v>44434</v>
      </c>
      <c r="D640" s="1">
        <v>44826</v>
      </c>
      <c r="E640">
        <v>122574</v>
      </c>
      <c r="F640">
        <v>60684</v>
      </c>
      <c r="G640">
        <v>61890</v>
      </c>
    </row>
    <row r="641" spans="1:7" x14ac:dyDescent="0.25">
      <c r="A641">
        <v>7141</v>
      </c>
      <c r="B641" t="s">
        <v>164</v>
      </c>
      <c r="C641" s="1">
        <v>44827</v>
      </c>
      <c r="D641" s="1">
        <v>117974</v>
      </c>
      <c r="E641">
        <v>122724</v>
      </c>
      <c r="F641">
        <v>60745</v>
      </c>
      <c r="G641">
        <v>61979</v>
      </c>
    </row>
    <row r="642" spans="1:7" x14ac:dyDescent="0.25">
      <c r="A642">
        <v>7143</v>
      </c>
      <c r="B642" t="s">
        <v>165</v>
      </c>
      <c r="C642" s="1">
        <v>43831</v>
      </c>
      <c r="D642" s="1">
        <v>44111</v>
      </c>
      <c r="E642">
        <v>201597</v>
      </c>
    </row>
    <row r="643" spans="1:7" x14ac:dyDescent="0.25">
      <c r="A643">
        <v>7143</v>
      </c>
      <c r="B643" t="s">
        <v>165</v>
      </c>
      <c r="C643" s="1">
        <v>44112</v>
      </c>
      <c r="D643" s="1">
        <v>44433</v>
      </c>
      <c r="E643">
        <v>201904</v>
      </c>
    </row>
    <row r="644" spans="1:7" x14ac:dyDescent="0.25">
      <c r="A644">
        <v>7143</v>
      </c>
      <c r="B644" t="s">
        <v>165</v>
      </c>
      <c r="C644" s="1">
        <v>44434</v>
      </c>
      <c r="D644" s="1">
        <v>44826</v>
      </c>
      <c r="E644">
        <v>202830</v>
      </c>
      <c r="F644">
        <v>100629</v>
      </c>
      <c r="G644">
        <v>102201</v>
      </c>
    </row>
    <row r="645" spans="1:7" x14ac:dyDescent="0.25">
      <c r="A645">
        <v>7143</v>
      </c>
      <c r="B645" t="s">
        <v>165</v>
      </c>
      <c r="C645" s="1">
        <v>44827</v>
      </c>
      <c r="D645" s="1">
        <v>117974</v>
      </c>
      <c r="E645">
        <v>203831</v>
      </c>
      <c r="F645">
        <v>101116</v>
      </c>
      <c r="G645">
        <v>102715</v>
      </c>
    </row>
    <row r="646" spans="1:7" x14ac:dyDescent="0.25">
      <c r="A646">
        <v>7211</v>
      </c>
      <c r="B646" t="s">
        <v>166</v>
      </c>
      <c r="C646" s="1">
        <v>43831</v>
      </c>
      <c r="D646" s="1">
        <v>44111</v>
      </c>
      <c r="E646">
        <v>110636</v>
      </c>
    </row>
    <row r="647" spans="1:7" x14ac:dyDescent="0.25">
      <c r="A647">
        <v>7211</v>
      </c>
      <c r="B647" t="s">
        <v>166</v>
      </c>
      <c r="C647" s="1">
        <v>44112</v>
      </c>
      <c r="D647" s="1">
        <v>44433</v>
      </c>
      <c r="E647">
        <v>111528</v>
      </c>
    </row>
    <row r="648" spans="1:7" x14ac:dyDescent="0.25">
      <c r="A648">
        <v>7211</v>
      </c>
      <c r="B648" t="s">
        <v>166</v>
      </c>
      <c r="C648" s="1">
        <v>44434</v>
      </c>
      <c r="D648" s="1">
        <v>44826</v>
      </c>
      <c r="E648">
        <v>110674</v>
      </c>
      <c r="F648">
        <v>54665</v>
      </c>
      <c r="G648">
        <v>56009</v>
      </c>
    </row>
    <row r="649" spans="1:7" x14ac:dyDescent="0.25">
      <c r="A649">
        <v>7211</v>
      </c>
      <c r="B649" t="s">
        <v>166</v>
      </c>
      <c r="C649" s="1">
        <v>44827</v>
      </c>
      <c r="D649" s="1">
        <v>117974</v>
      </c>
      <c r="E649">
        <v>110570</v>
      </c>
      <c r="F649">
        <v>54662</v>
      </c>
      <c r="G649">
        <v>55908</v>
      </c>
    </row>
    <row r="650" spans="1:7" x14ac:dyDescent="0.25">
      <c r="A650">
        <v>7231</v>
      </c>
      <c r="B650" t="s">
        <v>167</v>
      </c>
      <c r="C650" s="1">
        <v>43831</v>
      </c>
      <c r="D650" s="1">
        <v>44111</v>
      </c>
      <c r="E650">
        <v>112262</v>
      </c>
    </row>
    <row r="651" spans="1:7" x14ac:dyDescent="0.25">
      <c r="A651">
        <v>7231</v>
      </c>
      <c r="B651" t="s">
        <v>167</v>
      </c>
      <c r="C651" s="1">
        <v>44112</v>
      </c>
      <c r="D651" s="1">
        <v>44433</v>
      </c>
      <c r="E651">
        <v>112483</v>
      </c>
    </row>
    <row r="652" spans="1:7" x14ac:dyDescent="0.25">
      <c r="A652">
        <v>7231</v>
      </c>
      <c r="B652" t="s">
        <v>167</v>
      </c>
      <c r="C652" s="1">
        <v>44434</v>
      </c>
      <c r="D652" s="1">
        <v>44826</v>
      </c>
      <c r="E652">
        <v>112685</v>
      </c>
      <c r="F652">
        <v>56422</v>
      </c>
      <c r="G652">
        <v>56263</v>
      </c>
    </row>
    <row r="653" spans="1:7" x14ac:dyDescent="0.25">
      <c r="A653">
        <v>7231</v>
      </c>
      <c r="B653" t="s">
        <v>167</v>
      </c>
      <c r="C653" s="1">
        <v>44827</v>
      </c>
      <c r="D653" s="1">
        <v>117974</v>
      </c>
      <c r="E653">
        <v>113194</v>
      </c>
      <c r="F653">
        <v>56675</v>
      </c>
      <c r="G653">
        <v>56519</v>
      </c>
    </row>
    <row r="654" spans="1:7" x14ac:dyDescent="0.25">
      <c r="A654">
        <v>7232</v>
      </c>
      <c r="B654" t="s">
        <v>168</v>
      </c>
      <c r="C654" s="1">
        <v>43831</v>
      </c>
      <c r="D654" s="1">
        <v>44111</v>
      </c>
      <c r="E654">
        <v>98561</v>
      </c>
    </row>
    <row r="655" spans="1:7" x14ac:dyDescent="0.25">
      <c r="A655">
        <v>7232</v>
      </c>
      <c r="B655" t="s">
        <v>168</v>
      </c>
      <c r="C655" s="1">
        <v>44112</v>
      </c>
      <c r="D655" s="1">
        <v>44433</v>
      </c>
      <c r="E655">
        <v>99058</v>
      </c>
    </row>
    <row r="656" spans="1:7" x14ac:dyDescent="0.25">
      <c r="A656">
        <v>7232</v>
      </c>
      <c r="B656" t="s">
        <v>168</v>
      </c>
      <c r="C656" s="1">
        <v>44434</v>
      </c>
      <c r="D656" s="1">
        <v>44826</v>
      </c>
      <c r="E656">
        <v>100055</v>
      </c>
      <c r="F656">
        <v>50484</v>
      </c>
      <c r="G656">
        <v>49571</v>
      </c>
    </row>
    <row r="657" spans="1:7" x14ac:dyDescent="0.25">
      <c r="A657">
        <v>7232</v>
      </c>
      <c r="B657" t="s">
        <v>168</v>
      </c>
      <c r="C657" s="1">
        <v>44827</v>
      </c>
      <c r="D657" s="1">
        <v>117974</v>
      </c>
      <c r="E657">
        <v>100959</v>
      </c>
      <c r="F657">
        <v>50949</v>
      </c>
      <c r="G657">
        <v>50010</v>
      </c>
    </row>
    <row r="658" spans="1:7" x14ac:dyDescent="0.25">
      <c r="A658">
        <v>7233</v>
      </c>
      <c r="B658" t="s">
        <v>169</v>
      </c>
      <c r="C658" s="1">
        <v>43831</v>
      </c>
      <c r="D658" s="1">
        <v>44111</v>
      </c>
      <c r="E658">
        <v>60603</v>
      </c>
    </row>
    <row r="659" spans="1:7" x14ac:dyDescent="0.25">
      <c r="A659">
        <v>7233</v>
      </c>
      <c r="B659" t="s">
        <v>169</v>
      </c>
      <c r="C659" s="1">
        <v>44112</v>
      </c>
      <c r="D659" s="1">
        <v>44433</v>
      </c>
      <c r="E659">
        <v>60646</v>
      </c>
    </row>
    <row r="660" spans="1:7" x14ac:dyDescent="0.25">
      <c r="A660">
        <v>7233</v>
      </c>
      <c r="B660" t="s">
        <v>169</v>
      </c>
      <c r="C660" s="1">
        <v>44434</v>
      </c>
      <c r="D660" s="1">
        <v>44826</v>
      </c>
      <c r="E660">
        <v>60491</v>
      </c>
      <c r="F660">
        <v>30283</v>
      </c>
      <c r="G660">
        <v>30208</v>
      </c>
    </row>
    <row r="661" spans="1:7" x14ac:dyDescent="0.25">
      <c r="A661">
        <v>7233</v>
      </c>
      <c r="B661" t="s">
        <v>169</v>
      </c>
      <c r="C661" s="1">
        <v>44827</v>
      </c>
      <c r="D661" s="1">
        <v>117974</v>
      </c>
      <c r="E661">
        <v>60882</v>
      </c>
      <c r="F661">
        <v>30495</v>
      </c>
      <c r="G661">
        <v>30387</v>
      </c>
    </row>
    <row r="662" spans="1:7" x14ac:dyDescent="0.25">
      <c r="A662">
        <v>7235</v>
      </c>
      <c r="B662" t="s">
        <v>170</v>
      </c>
      <c r="C662" s="1">
        <v>43831</v>
      </c>
      <c r="D662" s="1">
        <v>44111</v>
      </c>
      <c r="E662">
        <v>148945</v>
      </c>
    </row>
    <row r="663" spans="1:7" x14ac:dyDescent="0.25">
      <c r="A663">
        <v>7235</v>
      </c>
      <c r="B663" t="s">
        <v>170</v>
      </c>
      <c r="C663" s="1">
        <v>44112</v>
      </c>
      <c r="D663" s="1">
        <v>44433</v>
      </c>
      <c r="E663">
        <v>149398</v>
      </c>
    </row>
    <row r="664" spans="1:7" x14ac:dyDescent="0.25">
      <c r="A664">
        <v>7235</v>
      </c>
      <c r="B664" t="s">
        <v>170</v>
      </c>
      <c r="C664" s="1">
        <v>44434</v>
      </c>
      <c r="D664" s="1">
        <v>44826</v>
      </c>
      <c r="E664">
        <v>150533</v>
      </c>
      <c r="F664">
        <v>74581</v>
      </c>
      <c r="G664">
        <v>75952</v>
      </c>
    </row>
    <row r="665" spans="1:7" x14ac:dyDescent="0.25">
      <c r="A665">
        <v>7235</v>
      </c>
      <c r="B665" t="s">
        <v>170</v>
      </c>
      <c r="C665" s="1">
        <v>44827</v>
      </c>
      <c r="D665" s="1">
        <v>117974</v>
      </c>
      <c r="E665">
        <v>151167</v>
      </c>
      <c r="F665">
        <v>74938</v>
      </c>
      <c r="G665">
        <v>76229</v>
      </c>
    </row>
    <row r="666" spans="1:7" x14ac:dyDescent="0.25">
      <c r="A666">
        <v>7311</v>
      </c>
      <c r="B666" t="s">
        <v>171</v>
      </c>
      <c r="C666" s="1">
        <v>43831</v>
      </c>
      <c r="D666" s="1">
        <v>44111</v>
      </c>
      <c r="E666">
        <v>48561</v>
      </c>
    </row>
    <row r="667" spans="1:7" x14ac:dyDescent="0.25">
      <c r="A667">
        <v>7311</v>
      </c>
      <c r="B667" t="s">
        <v>171</v>
      </c>
      <c r="C667" s="1">
        <v>44112</v>
      </c>
      <c r="D667" s="1">
        <v>44433</v>
      </c>
      <c r="E667">
        <v>48762</v>
      </c>
    </row>
    <row r="668" spans="1:7" x14ac:dyDescent="0.25">
      <c r="A668">
        <v>7311</v>
      </c>
      <c r="B668" t="s">
        <v>171</v>
      </c>
      <c r="C668" s="1">
        <v>44434</v>
      </c>
      <c r="D668" s="1">
        <v>44826</v>
      </c>
      <c r="E668">
        <v>48750</v>
      </c>
      <c r="F668">
        <v>23745</v>
      </c>
      <c r="G668">
        <v>25005</v>
      </c>
    </row>
    <row r="669" spans="1:7" x14ac:dyDescent="0.25">
      <c r="A669">
        <v>7311</v>
      </c>
      <c r="B669" t="s">
        <v>171</v>
      </c>
      <c r="C669" s="1">
        <v>44827</v>
      </c>
      <c r="D669" s="1">
        <v>117974</v>
      </c>
      <c r="E669">
        <v>48773</v>
      </c>
      <c r="F669">
        <v>23878</v>
      </c>
      <c r="G669">
        <v>24895</v>
      </c>
    </row>
    <row r="670" spans="1:7" x14ac:dyDescent="0.25">
      <c r="A670">
        <v>7312</v>
      </c>
      <c r="B670" t="s">
        <v>172</v>
      </c>
      <c r="C670" s="1">
        <v>43831</v>
      </c>
      <c r="D670" s="1">
        <v>44111</v>
      </c>
      <c r="E670">
        <v>99845</v>
      </c>
    </row>
    <row r="671" spans="1:7" x14ac:dyDescent="0.25">
      <c r="A671">
        <v>7312</v>
      </c>
      <c r="B671" t="s">
        <v>172</v>
      </c>
      <c r="C671" s="1">
        <v>44112</v>
      </c>
      <c r="D671" s="1">
        <v>44433</v>
      </c>
      <c r="E671">
        <v>100030</v>
      </c>
    </row>
    <row r="672" spans="1:7" x14ac:dyDescent="0.25">
      <c r="A672">
        <v>7312</v>
      </c>
      <c r="B672" t="s">
        <v>172</v>
      </c>
      <c r="C672" s="1">
        <v>44434</v>
      </c>
      <c r="D672" s="1">
        <v>44826</v>
      </c>
      <c r="E672">
        <v>99662</v>
      </c>
      <c r="F672">
        <v>50286</v>
      </c>
      <c r="G672">
        <v>49376</v>
      </c>
    </row>
    <row r="673" spans="1:7" x14ac:dyDescent="0.25">
      <c r="A673">
        <v>7312</v>
      </c>
      <c r="B673" t="s">
        <v>172</v>
      </c>
      <c r="C673" s="1">
        <v>44827</v>
      </c>
      <c r="D673" s="1">
        <v>117974</v>
      </c>
      <c r="E673">
        <v>99292</v>
      </c>
      <c r="F673">
        <v>50082</v>
      </c>
      <c r="G673">
        <v>49210</v>
      </c>
    </row>
    <row r="674" spans="1:7" x14ac:dyDescent="0.25">
      <c r="A674">
        <v>7313</v>
      </c>
      <c r="B674" t="s">
        <v>173</v>
      </c>
      <c r="C674" s="1">
        <v>43831</v>
      </c>
      <c r="D674" s="1">
        <v>44111</v>
      </c>
      <c r="E674">
        <v>46677</v>
      </c>
    </row>
    <row r="675" spans="1:7" x14ac:dyDescent="0.25">
      <c r="A675">
        <v>7313</v>
      </c>
      <c r="B675" t="s">
        <v>173</v>
      </c>
      <c r="C675" s="1">
        <v>44112</v>
      </c>
      <c r="D675" s="1">
        <v>44433</v>
      </c>
      <c r="E675">
        <v>46881</v>
      </c>
    </row>
    <row r="676" spans="1:7" x14ac:dyDescent="0.25">
      <c r="A676">
        <v>7313</v>
      </c>
      <c r="B676" t="s">
        <v>173</v>
      </c>
      <c r="C676" s="1">
        <v>44434</v>
      </c>
      <c r="D676" s="1">
        <v>44826</v>
      </c>
      <c r="E676">
        <v>46685</v>
      </c>
      <c r="F676">
        <v>22225</v>
      </c>
      <c r="G676">
        <v>24460</v>
      </c>
    </row>
    <row r="677" spans="1:7" x14ac:dyDescent="0.25">
      <c r="A677">
        <v>7313</v>
      </c>
      <c r="B677" t="s">
        <v>173</v>
      </c>
      <c r="C677" s="1">
        <v>44827</v>
      </c>
      <c r="D677" s="1">
        <v>117974</v>
      </c>
      <c r="E677">
        <v>46919</v>
      </c>
      <c r="F677">
        <v>22379</v>
      </c>
      <c r="G677">
        <v>24540</v>
      </c>
    </row>
    <row r="678" spans="1:7" x14ac:dyDescent="0.25">
      <c r="A678">
        <v>7314</v>
      </c>
      <c r="B678" t="s">
        <v>174</v>
      </c>
      <c r="C678" s="1">
        <v>43831</v>
      </c>
      <c r="D678" s="1">
        <v>44111</v>
      </c>
      <c r="E678">
        <v>171061</v>
      </c>
    </row>
    <row r="679" spans="1:7" x14ac:dyDescent="0.25">
      <c r="A679">
        <v>7314</v>
      </c>
      <c r="B679" t="s">
        <v>174</v>
      </c>
      <c r="C679" s="1">
        <v>44112</v>
      </c>
      <c r="D679" s="1">
        <v>44433</v>
      </c>
      <c r="E679">
        <v>172253</v>
      </c>
    </row>
    <row r="680" spans="1:7" x14ac:dyDescent="0.25">
      <c r="A680">
        <v>7314</v>
      </c>
      <c r="B680" t="s">
        <v>174</v>
      </c>
      <c r="C680" s="1">
        <v>44434</v>
      </c>
      <c r="D680" s="1">
        <v>44826</v>
      </c>
      <c r="E680">
        <v>172557</v>
      </c>
      <c r="F680">
        <v>86670</v>
      </c>
      <c r="G680">
        <v>85887</v>
      </c>
    </row>
    <row r="681" spans="1:7" x14ac:dyDescent="0.25">
      <c r="A681">
        <v>7314</v>
      </c>
      <c r="B681" t="s">
        <v>174</v>
      </c>
      <c r="C681" s="1">
        <v>44827</v>
      </c>
      <c r="D681" s="1">
        <v>117974</v>
      </c>
      <c r="E681">
        <v>172145</v>
      </c>
      <c r="F681">
        <v>86378</v>
      </c>
      <c r="G681">
        <v>85767</v>
      </c>
    </row>
    <row r="682" spans="1:7" x14ac:dyDescent="0.25">
      <c r="A682">
        <v>7315</v>
      </c>
      <c r="B682" t="s">
        <v>175</v>
      </c>
      <c r="C682" s="1">
        <v>43831</v>
      </c>
      <c r="D682" s="1">
        <v>44111</v>
      </c>
      <c r="E682">
        <v>217118</v>
      </c>
    </row>
    <row r="683" spans="1:7" x14ac:dyDescent="0.25">
      <c r="A683">
        <v>7315</v>
      </c>
      <c r="B683" t="s">
        <v>175</v>
      </c>
      <c r="C683" s="1">
        <v>44112</v>
      </c>
      <c r="D683" s="1">
        <v>44433</v>
      </c>
      <c r="E683">
        <v>218578</v>
      </c>
    </row>
    <row r="684" spans="1:7" x14ac:dyDescent="0.25">
      <c r="A684">
        <v>7315</v>
      </c>
      <c r="B684" t="s">
        <v>175</v>
      </c>
      <c r="C684" s="1">
        <v>44434</v>
      </c>
      <c r="D684" s="1">
        <v>44826</v>
      </c>
      <c r="E684">
        <v>217123</v>
      </c>
      <c r="F684">
        <v>105835</v>
      </c>
      <c r="G684">
        <v>111288</v>
      </c>
    </row>
    <row r="685" spans="1:7" x14ac:dyDescent="0.25">
      <c r="A685">
        <v>7315</v>
      </c>
      <c r="B685" t="s">
        <v>175</v>
      </c>
      <c r="C685" s="1">
        <v>44827</v>
      </c>
      <c r="D685" s="1">
        <v>117974</v>
      </c>
      <c r="E685">
        <v>217556</v>
      </c>
      <c r="F685">
        <v>106014</v>
      </c>
      <c r="G685">
        <v>111542</v>
      </c>
    </row>
    <row r="686" spans="1:7" x14ac:dyDescent="0.25">
      <c r="A686">
        <v>7316</v>
      </c>
      <c r="B686" t="s">
        <v>176</v>
      </c>
      <c r="C686" s="1">
        <v>43831</v>
      </c>
      <c r="D686" s="1">
        <v>44111</v>
      </c>
      <c r="E686">
        <v>53148</v>
      </c>
    </row>
    <row r="687" spans="1:7" x14ac:dyDescent="0.25">
      <c r="A687">
        <v>7316</v>
      </c>
      <c r="B687" t="s">
        <v>176</v>
      </c>
      <c r="C687" s="1">
        <v>44112</v>
      </c>
      <c r="D687" s="1">
        <v>44433</v>
      </c>
      <c r="E687">
        <v>53264</v>
      </c>
    </row>
    <row r="688" spans="1:7" x14ac:dyDescent="0.25">
      <c r="A688">
        <v>7316</v>
      </c>
      <c r="B688" t="s">
        <v>176</v>
      </c>
      <c r="C688" s="1">
        <v>44434</v>
      </c>
      <c r="D688" s="1">
        <v>44826</v>
      </c>
      <c r="E688">
        <v>53306</v>
      </c>
      <c r="F688">
        <v>25994</v>
      </c>
      <c r="G688">
        <v>27312</v>
      </c>
    </row>
    <row r="689" spans="1:7" x14ac:dyDescent="0.25">
      <c r="A689">
        <v>7316</v>
      </c>
      <c r="B689" t="s">
        <v>176</v>
      </c>
      <c r="C689" s="1">
        <v>44827</v>
      </c>
      <c r="D689" s="1">
        <v>117974</v>
      </c>
      <c r="E689">
        <v>53491</v>
      </c>
      <c r="F689">
        <v>26135</v>
      </c>
      <c r="G689">
        <v>27356</v>
      </c>
    </row>
    <row r="690" spans="1:7" x14ac:dyDescent="0.25">
      <c r="A690">
        <v>7317</v>
      </c>
      <c r="B690" t="s">
        <v>177</v>
      </c>
      <c r="C690" s="1">
        <v>43831</v>
      </c>
      <c r="D690" s="1">
        <v>44111</v>
      </c>
      <c r="E690">
        <v>40403</v>
      </c>
    </row>
    <row r="691" spans="1:7" x14ac:dyDescent="0.25">
      <c r="A691">
        <v>7317</v>
      </c>
      <c r="B691" t="s">
        <v>177</v>
      </c>
      <c r="C691" s="1">
        <v>44112</v>
      </c>
      <c r="D691" s="1">
        <v>44433</v>
      </c>
      <c r="E691">
        <v>40231</v>
      </c>
    </row>
    <row r="692" spans="1:7" x14ac:dyDescent="0.25">
      <c r="A692">
        <v>7317</v>
      </c>
      <c r="B692" t="s">
        <v>177</v>
      </c>
      <c r="C692" s="1">
        <v>44434</v>
      </c>
      <c r="D692" s="1">
        <v>44826</v>
      </c>
      <c r="E692">
        <v>40176</v>
      </c>
      <c r="F692">
        <v>19694</v>
      </c>
      <c r="G692">
        <v>20482</v>
      </c>
    </row>
    <row r="693" spans="1:7" x14ac:dyDescent="0.25">
      <c r="A693">
        <v>7317</v>
      </c>
      <c r="B693" t="s">
        <v>177</v>
      </c>
      <c r="C693" s="1">
        <v>44827</v>
      </c>
      <c r="D693" s="1">
        <v>117974</v>
      </c>
      <c r="E693">
        <v>40054</v>
      </c>
      <c r="F693">
        <v>19628</v>
      </c>
      <c r="G693">
        <v>20426</v>
      </c>
    </row>
    <row r="694" spans="1:7" x14ac:dyDescent="0.25">
      <c r="A694">
        <v>7318</v>
      </c>
      <c r="B694" t="s">
        <v>178</v>
      </c>
      <c r="C694" s="1">
        <v>43831</v>
      </c>
      <c r="D694" s="1">
        <v>44111</v>
      </c>
      <c r="E694">
        <v>50378</v>
      </c>
    </row>
    <row r="695" spans="1:7" x14ac:dyDescent="0.25">
      <c r="A695">
        <v>7318</v>
      </c>
      <c r="B695" t="s">
        <v>178</v>
      </c>
      <c r="C695" s="1">
        <v>44112</v>
      </c>
      <c r="D695" s="1">
        <v>44433</v>
      </c>
      <c r="E695">
        <v>50561</v>
      </c>
    </row>
    <row r="696" spans="1:7" x14ac:dyDescent="0.25">
      <c r="A696">
        <v>7318</v>
      </c>
      <c r="B696" t="s">
        <v>178</v>
      </c>
      <c r="C696" s="1">
        <v>44434</v>
      </c>
      <c r="D696" s="1">
        <v>44826</v>
      </c>
      <c r="E696">
        <v>50741</v>
      </c>
      <c r="F696">
        <v>24685</v>
      </c>
      <c r="G696">
        <v>26056</v>
      </c>
    </row>
    <row r="697" spans="1:7" x14ac:dyDescent="0.25">
      <c r="A697">
        <v>7318</v>
      </c>
      <c r="B697" t="s">
        <v>178</v>
      </c>
      <c r="C697" s="1">
        <v>44827</v>
      </c>
      <c r="D697" s="1">
        <v>117974</v>
      </c>
      <c r="E697">
        <v>50565</v>
      </c>
      <c r="F697">
        <v>24519</v>
      </c>
      <c r="G697">
        <v>26046</v>
      </c>
    </row>
    <row r="698" spans="1:7" x14ac:dyDescent="0.25">
      <c r="A698">
        <v>7319</v>
      </c>
      <c r="B698" t="s">
        <v>179</v>
      </c>
      <c r="C698" s="1">
        <v>43831</v>
      </c>
      <c r="D698" s="1">
        <v>44111</v>
      </c>
      <c r="E698">
        <v>83330</v>
      </c>
    </row>
    <row r="699" spans="1:7" x14ac:dyDescent="0.25">
      <c r="A699">
        <v>7319</v>
      </c>
      <c r="B699" t="s">
        <v>179</v>
      </c>
      <c r="C699" s="1">
        <v>44112</v>
      </c>
      <c r="D699" s="1">
        <v>44433</v>
      </c>
      <c r="E699">
        <v>83542</v>
      </c>
    </row>
    <row r="700" spans="1:7" x14ac:dyDescent="0.25">
      <c r="A700">
        <v>7319</v>
      </c>
      <c r="B700" t="s">
        <v>179</v>
      </c>
      <c r="C700" s="1">
        <v>44434</v>
      </c>
      <c r="D700" s="1">
        <v>44826</v>
      </c>
      <c r="E700">
        <v>83459</v>
      </c>
      <c r="F700">
        <v>41298</v>
      </c>
      <c r="G700">
        <v>42161</v>
      </c>
    </row>
    <row r="701" spans="1:7" x14ac:dyDescent="0.25">
      <c r="A701">
        <v>7319</v>
      </c>
      <c r="B701" t="s">
        <v>179</v>
      </c>
      <c r="C701" s="1">
        <v>44827</v>
      </c>
      <c r="D701" s="1">
        <v>117974</v>
      </c>
      <c r="E701">
        <v>83850</v>
      </c>
      <c r="F701">
        <v>41594</v>
      </c>
      <c r="G701">
        <v>42256</v>
      </c>
    </row>
    <row r="702" spans="1:7" x14ac:dyDescent="0.25">
      <c r="A702">
        <v>7320</v>
      </c>
      <c r="B702" t="s">
        <v>180</v>
      </c>
      <c r="C702" s="1">
        <v>43831</v>
      </c>
      <c r="D702" s="1">
        <v>44111</v>
      </c>
      <c r="E702">
        <v>34209</v>
      </c>
    </row>
    <row r="703" spans="1:7" x14ac:dyDescent="0.25">
      <c r="A703">
        <v>7320</v>
      </c>
      <c r="B703" t="s">
        <v>180</v>
      </c>
      <c r="C703" s="1">
        <v>44112</v>
      </c>
      <c r="D703" s="1">
        <v>44433</v>
      </c>
      <c r="E703">
        <v>34193</v>
      </c>
    </row>
    <row r="704" spans="1:7" x14ac:dyDescent="0.25">
      <c r="A704">
        <v>7320</v>
      </c>
      <c r="B704" t="s">
        <v>180</v>
      </c>
      <c r="C704" s="1">
        <v>44434</v>
      </c>
      <c r="D704" s="1">
        <v>44826</v>
      </c>
      <c r="E704">
        <v>34001</v>
      </c>
      <c r="F704">
        <v>16840</v>
      </c>
      <c r="G704">
        <v>17161</v>
      </c>
    </row>
    <row r="705" spans="1:7" x14ac:dyDescent="0.25">
      <c r="A705">
        <v>7320</v>
      </c>
      <c r="B705" t="s">
        <v>180</v>
      </c>
      <c r="C705" s="1">
        <v>44827</v>
      </c>
      <c r="D705" s="1">
        <v>117974</v>
      </c>
      <c r="E705">
        <v>34091</v>
      </c>
      <c r="F705">
        <v>16888</v>
      </c>
      <c r="G705">
        <v>17203</v>
      </c>
    </row>
    <row r="706" spans="1:7" x14ac:dyDescent="0.25">
      <c r="A706">
        <v>7331</v>
      </c>
      <c r="B706" t="s">
        <v>181</v>
      </c>
      <c r="C706" s="1">
        <v>43831</v>
      </c>
      <c r="D706" s="1">
        <v>44111</v>
      </c>
      <c r="E706">
        <v>129244</v>
      </c>
    </row>
    <row r="707" spans="1:7" x14ac:dyDescent="0.25">
      <c r="A707">
        <v>7331</v>
      </c>
      <c r="B707" t="s">
        <v>181</v>
      </c>
      <c r="C707" s="1">
        <v>44112</v>
      </c>
      <c r="D707" s="1">
        <v>44433</v>
      </c>
      <c r="E707">
        <v>129687</v>
      </c>
    </row>
    <row r="708" spans="1:7" x14ac:dyDescent="0.25">
      <c r="A708">
        <v>7331</v>
      </c>
      <c r="B708" t="s">
        <v>181</v>
      </c>
      <c r="C708" s="1">
        <v>44434</v>
      </c>
      <c r="D708" s="1">
        <v>44826</v>
      </c>
      <c r="E708">
        <v>130715</v>
      </c>
      <c r="F708">
        <v>64964</v>
      </c>
      <c r="G708">
        <v>65751</v>
      </c>
    </row>
    <row r="709" spans="1:7" x14ac:dyDescent="0.25">
      <c r="A709">
        <v>7331</v>
      </c>
      <c r="B709" t="s">
        <v>181</v>
      </c>
      <c r="C709" s="1">
        <v>44827</v>
      </c>
      <c r="D709" s="1">
        <v>117974</v>
      </c>
      <c r="E709">
        <v>131330</v>
      </c>
      <c r="F709">
        <v>65224</v>
      </c>
      <c r="G709">
        <v>66106</v>
      </c>
    </row>
    <row r="710" spans="1:7" x14ac:dyDescent="0.25">
      <c r="A710">
        <v>7332</v>
      </c>
      <c r="B710" t="s">
        <v>182</v>
      </c>
      <c r="C710" s="1">
        <v>43831</v>
      </c>
      <c r="D710" s="1">
        <v>44111</v>
      </c>
      <c r="E710">
        <v>132660</v>
      </c>
    </row>
    <row r="711" spans="1:7" x14ac:dyDescent="0.25">
      <c r="A711">
        <v>7332</v>
      </c>
      <c r="B711" t="s">
        <v>182</v>
      </c>
      <c r="C711" s="1">
        <v>44112</v>
      </c>
      <c r="D711" s="1">
        <v>44433</v>
      </c>
      <c r="E711">
        <v>132671</v>
      </c>
    </row>
    <row r="712" spans="1:7" x14ac:dyDescent="0.25">
      <c r="A712">
        <v>7332</v>
      </c>
      <c r="B712" t="s">
        <v>182</v>
      </c>
      <c r="C712" s="1">
        <v>44434</v>
      </c>
      <c r="D712" s="1">
        <v>44826</v>
      </c>
      <c r="E712">
        <v>133004</v>
      </c>
      <c r="F712">
        <v>65103</v>
      </c>
      <c r="G712">
        <v>67901</v>
      </c>
    </row>
    <row r="713" spans="1:7" x14ac:dyDescent="0.25">
      <c r="A713">
        <v>7332</v>
      </c>
      <c r="B713" t="s">
        <v>182</v>
      </c>
      <c r="C713" s="1">
        <v>44827</v>
      </c>
      <c r="D713" s="1">
        <v>117974</v>
      </c>
      <c r="E713">
        <v>133206</v>
      </c>
      <c r="F713">
        <v>65122</v>
      </c>
      <c r="G713">
        <v>68084</v>
      </c>
    </row>
    <row r="714" spans="1:7" x14ac:dyDescent="0.25">
      <c r="A714">
        <v>7333</v>
      </c>
      <c r="B714" t="s">
        <v>183</v>
      </c>
      <c r="C714" s="1">
        <v>43831</v>
      </c>
      <c r="D714" s="1">
        <v>44111</v>
      </c>
      <c r="E714">
        <v>75101</v>
      </c>
    </row>
    <row r="715" spans="1:7" x14ac:dyDescent="0.25">
      <c r="A715">
        <v>7333</v>
      </c>
      <c r="B715" t="s">
        <v>183</v>
      </c>
      <c r="C715" s="1">
        <v>44112</v>
      </c>
      <c r="D715" s="1">
        <v>44433</v>
      </c>
      <c r="E715">
        <v>75325</v>
      </c>
    </row>
    <row r="716" spans="1:7" x14ac:dyDescent="0.25">
      <c r="A716">
        <v>7333</v>
      </c>
      <c r="B716" t="s">
        <v>183</v>
      </c>
      <c r="C716" s="1">
        <v>44434</v>
      </c>
      <c r="D716" s="1">
        <v>44826</v>
      </c>
      <c r="E716">
        <v>75539</v>
      </c>
      <c r="F716">
        <v>37417</v>
      </c>
      <c r="G716">
        <v>38122</v>
      </c>
    </row>
    <row r="717" spans="1:7" x14ac:dyDescent="0.25">
      <c r="A717">
        <v>7333</v>
      </c>
      <c r="B717" t="s">
        <v>183</v>
      </c>
      <c r="C717" s="1">
        <v>44827</v>
      </c>
      <c r="D717" s="1">
        <v>117974</v>
      </c>
      <c r="E717">
        <v>75569</v>
      </c>
      <c r="F717">
        <v>37418</v>
      </c>
      <c r="G717">
        <v>38151</v>
      </c>
    </row>
    <row r="718" spans="1:7" x14ac:dyDescent="0.25">
      <c r="A718">
        <v>7334</v>
      </c>
      <c r="B718" t="s">
        <v>184</v>
      </c>
      <c r="C718" s="1">
        <v>43831</v>
      </c>
      <c r="D718" s="1">
        <v>44111</v>
      </c>
      <c r="E718">
        <v>129075</v>
      </c>
    </row>
    <row r="719" spans="1:7" x14ac:dyDescent="0.25">
      <c r="A719">
        <v>7334</v>
      </c>
      <c r="B719" t="s">
        <v>184</v>
      </c>
      <c r="C719" s="1">
        <v>44112</v>
      </c>
      <c r="D719" s="1">
        <v>44433</v>
      </c>
      <c r="E719">
        <v>129013</v>
      </c>
    </row>
    <row r="720" spans="1:7" x14ac:dyDescent="0.25">
      <c r="A720">
        <v>7334</v>
      </c>
      <c r="B720" t="s">
        <v>184</v>
      </c>
      <c r="C720" s="1">
        <v>44434</v>
      </c>
      <c r="D720" s="1">
        <v>44826</v>
      </c>
      <c r="E720">
        <v>129006</v>
      </c>
      <c r="F720">
        <v>64237</v>
      </c>
      <c r="G720">
        <v>64769</v>
      </c>
    </row>
    <row r="721" spans="1:7" x14ac:dyDescent="0.25">
      <c r="A721">
        <v>7334</v>
      </c>
      <c r="B721" t="s">
        <v>184</v>
      </c>
      <c r="C721" s="1">
        <v>44827</v>
      </c>
      <c r="D721" s="1">
        <v>117974</v>
      </c>
      <c r="E721">
        <v>129313</v>
      </c>
      <c r="F721">
        <v>64327</v>
      </c>
      <c r="G721">
        <v>64986</v>
      </c>
    </row>
    <row r="722" spans="1:7" x14ac:dyDescent="0.25">
      <c r="A722">
        <v>7335</v>
      </c>
      <c r="B722" t="s">
        <v>185</v>
      </c>
      <c r="C722" s="1">
        <v>43831</v>
      </c>
      <c r="D722" s="1">
        <v>44111</v>
      </c>
      <c r="E722">
        <v>106057</v>
      </c>
    </row>
    <row r="723" spans="1:7" x14ac:dyDescent="0.25">
      <c r="A723">
        <v>7335</v>
      </c>
      <c r="B723" t="s">
        <v>185</v>
      </c>
      <c r="C723" s="1">
        <v>44112</v>
      </c>
      <c r="D723" s="1">
        <v>44433</v>
      </c>
      <c r="E723">
        <v>105979</v>
      </c>
    </row>
    <row r="724" spans="1:7" x14ac:dyDescent="0.25">
      <c r="A724">
        <v>7335</v>
      </c>
      <c r="B724" t="s">
        <v>185</v>
      </c>
      <c r="C724" s="1">
        <v>44434</v>
      </c>
      <c r="D724" s="1">
        <v>44826</v>
      </c>
      <c r="E724">
        <v>106320</v>
      </c>
      <c r="F724">
        <v>52252</v>
      </c>
      <c r="G724">
        <v>54068</v>
      </c>
    </row>
    <row r="725" spans="1:7" x14ac:dyDescent="0.25">
      <c r="A725">
        <v>7335</v>
      </c>
      <c r="B725" t="s">
        <v>185</v>
      </c>
      <c r="C725" s="1">
        <v>44827</v>
      </c>
      <c r="D725" s="1">
        <v>117974</v>
      </c>
      <c r="E725">
        <v>106853</v>
      </c>
      <c r="F725">
        <v>52537</v>
      </c>
      <c r="G725">
        <v>54316</v>
      </c>
    </row>
    <row r="726" spans="1:7" x14ac:dyDescent="0.25">
      <c r="A726">
        <v>7336</v>
      </c>
      <c r="B726" t="s">
        <v>186</v>
      </c>
      <c r="C726" s="1">
        <v>43831</v>
      </c>
      <c r="D726" s="1">
        <v>44111</v>
      </c>
      <c r="E726">
        <v>70526</v>
      </c>
    </row>
    <row r="727" spans="1:7" x14ac:dyDescent="0.25">
      <c r="A727">
        <v>7336</v>
      </c>
      <c r="B727" t="s">
        <v>186</v>
      </c>
      <c r="C727" s="1">
        <v>44112</v>
      </c>
      <c r="D727" s="1">
        <v>44433</v>
      </c>
      <c r="E727">
        <v>70219</v>
      </c>
    </row>
    <row r="728" spans="1:7" x14ac:dyDescent="0.25">
      <c r="A728">
        <v>7336</v>
      </c>
      <c r="B728" t="s">
        <v>186</v>
      </c>
      <c r="C728" s="1">
        <v>44434</v>
      </c>
      <c r="D728" s="1">
        <v>44826</v>
      </c>
      <c r="E728">
        <v>70105</v>
      </c>
      <c r="F728">
        <v>34821</v>
      </c>
      <c r="G728">
        <v>35284</v>
      </c>
    </row>
    <row r="729" spans="1:7" x14ac:dyDescent="0.25">
      <c r="A729">
        <v>7336</v>
      </c>
      <c r="B729" t="s">
        <v>186</v>
      </c>
      <c r="C729" s="1">
        <v>44827</v>
      </c>
      <c r="D729" s="1">
        <v>117974</v>
      </c>
      <c r="E729">
        <v>69949</v>
      </c>
      <c r="F729">
        <v>34714</v>
      </c>
      <c r="G729">
        <v>35235</v>
      </c>
    </row>
    <row r="730" spans="1:7" x14ac:dyDescent="0.25">
      <c r="A730">
        <v>7337</v>
      </c>
      <c r="B730" t="s">
        <v>187</v>
      </c>
      <c r="C730" s="1">
        <v>43831</v>
      </c>
      <c r="D730" s="1">
        <v>44111</v>
      </c>
      <c r="E730">
        <v>110356</v>
      </c>
    </row>
    <row r="731" spans="1:7" x14ac:dyDescent="0.25">
      <c r="A731">
        <v>7337</v>
      </c>
      <c r="B731" t="s">
        <v>187</v>
      </c>
      <c r="C731" s="1">
        <v>44112</v>
      </c>
      <c r="D731" s="1">
        <v>44433</v>
      </c>
      <c r="E731">
        <v>110521</v>
      </c>
    </row>
    <row r="732" spans="1:7" x14ac:dyDescent="0.25">
      <c r="A732">
        <v>7337</v>
      </c>
      <c r="B732" t="s">
        <v>187</v>
      </c>
      <c r="C732" s="1">
        <v>44434</v>
      </c>
      <c r="D732" s="1">
        <v>44826</v>
      </c>
      <c r="E732">
        <v>110783</v>
      </c>
      <c r="F732">
        <v>54600</v>
      </c>
      <c r="G732">
        <v>56183</v>
      </c>
    </row>
    <row r="733" spans="1:7" x14ac:dyDescent="0.25">
      <c r="A733">
        <v>7337</v>
      </c>
      <c r="B733" t="s">
        <v>187</v>
      </c>
      <c r="C733" s="1">
        <v>44827</v>
      </c>
      <c r="D733" s="1">
        <v>117974</v>
      </c>
      <c r="E733">
        <v>111279</v>
      </c>
      <c r="F733">
        <v>54838</v>
      </c>
      <c r="G733">
        <v>56441</v>
      </c>
    </row>
    <row r="734" spans="1:7" x14ac:dyDescent="0.25">
      <c r="A734">
        <v>7338</v>
      </c>
      <c r="B734" t="s">
        <v>188</v>
      </c>
      <c r="C734" s="1">
        <v>43831</v>
      </c>
      <c r="D734" s="1">
        <v>44111</v>
      </c>
      <c r="E734">
        <v>154201</v>
      </c>
    </row>
    <row r="735" spans="1:7" x14ac:dyDescent="0.25">
      <c r="A735">
        <v>7338</v>
      </c>
      <c r="B735" t="s">
        <v>188</v>
      </c>
      <c r="C735" s="1">
        <v>44112</v>
      </c>
      <c r="D735" s="1">
        <v>44433</v>
      </c>
      <c r="E735">
        <v>154609</v>
      </c>
    </row>
    <row r="736" spans="1:7" x14ac:dyDescent="0.25">
      <c r="A736">
        <v>7338</v>
      </c>
      <c r="B736" t="s">
        <v>188</v>
      </c>
      <c r="C736" s="1">
        <v>44434</v>
      </c>
      <c r="D736" s="1">
        <v>44826</v>
      </c>
      <c r="E736">
        <v>154754</v>
      </c>
      <c r="F736">
        <v>76338</v>
      </c>
      <c r="G736">
        <v>78416</v>
      </c>
    </row>
    <row r="737" spans="1:7" x14ac:dyDescent="0.25">
      <c r="A737">
        <v>7338</v>
      </c>
      <c r="B737" t="s">
        <v>188</v>
      </c>
      <c r="C737" s="1">
        <v>44827</v>
      </c>
      <c r="D737" s="1">
        <v>117974</v>
      </c>
      <c r="E737">
        <v>155050</v>
      </c>
      <c r="F737">
        <v>76418</v>
      </c>
      <c r="G737">
        <v>78632</v>
      </c>
    </row>
    <row r="738" spans="1:7" x14ac:dyDescent="0.25">
      <c r="A738">
        <v>7339</v>
      </c>
      <c r="B738" t="s">
        <v>189</v>
      </c>
      <c r="C738" s="1">
        <v>43831</v>
      </c>
      <c r="D738" s="1">
        <v>44111</v>
      </c>
      <c r="E738">
        <v>210889</v>
      </c>
    </row>
    <row r="739" spans="1:7" x14ac:dyDescent="0.25">
      <c r="A739">
        <v>7339</v>
      </c>
      <c r="B739" t="s">
        <v>189</v>
      </c>
      <c r="C739" s="1">
        <v>44112</v>
      </c>
      <c r="D739" s="1">
        <v>44433</v>
      </c>
      <c r="E739">
        <v>211417</v>
      </c>
    </row>
    <row r="740" spans="1:7" x14ac:dyDescent="0.25">
      <c r="A740">
        <v>7339</v>
      </c>
      <c r="B740" t="s">
        <v>189</v>
      </c>
      <c r="C740" s="1">
        <v>44434</v>
      </c>
      <c r="D740" s="1">
        <v>44826</v>
      </c>
      <c r="E740">
        <v>211525</v>
      </c>
      <c r="F740">
        <v>104352</v>
      </c>
      <c r="G740">
        <v>107173</v>
      </c>
    </row>
    <row r="741" spans="1:7" x14ac:dyDescent="0.25">
      <c r="A741">
        <v>7339</v>
      </c>
      <c r="B741" t="s">
        <v>189</v>
      </c>
      <c r="C741" s="1">
        <v>44827</v>
      </c>
      <c r="D741" s="1">
        <v>117974</v>
      </c>
      <c r="E741">
        <v>212420</v>
      </c>
      <c r="F741">
        <v>104837</v>
      </c>
      <c r="G741">
        <v>107583</v>
      </c>
    </row>
    <row r="742" spans="1:7" x14ac:dyDescent="0.25">
      <c r="A742">
        <v>7340</v>
      </c>
      <c r="B742" t="s">
        <v>190</v>
      </c>
      <c r="C742" s="1">
        <v>43831</v>
      </c>
      <c r="D742" s="1">
        <v>44111</v>
      </c>
      <c r="E742">
        <v>95113</v>
      </c>
    </row>
    <row r="743" spans="1:7" x14ac:dyDescent="0.25">
      <c r="A743">
        <v>7340</v>
      </c>
      <c r="B743" t="s">
        <v>190</v>
      </c>
      <c r="C743" s="1">
        <v>44112</v>
      </c>
      <c r="D743" s="1">
        <v>44433</v>
      </c>
      <c r="E743">
        <v>94831</v>
      </c>
    </row>
    <row r="744" spans="1:7" x14ac:dyDescent="0.25">
      <c r="A744">
        <v>7340</v>
      </c>
      <c r="B744" t="s">
        <v>190</v>
      </c>
      <c r="C744" s="1">
        <v>44434</v>
      </c>
      <c r="D744" s="1">
        <v>44826</v>
      </c>
      <c r="E744">
        <v>94912</v>
      </c>
      <c r="F744">
        <v>46838</v>
      </c>
      <c r="G744">
        <v>48074</v>
      </c>
    </row>
    <row r="745" spans="1:7" x14ac:dyDescent="0.25">
      <c r="A745">
        <v>7340</v>
      </c>
      <c r="B745" t="s">
        <v>190</v>
      </c>
      <c r="C745" s="1">
        <v>44827</v>
      </c>
      <c r="D745" s="1">
        <v>117974</v>
      </c>
      <c r="E745">
        <v>94819</v>
      </c>
      <c r="F745">
        <v>46753</v>
      </c>
      <c r="G745">
        <v>48066</v>
      </c>
    </row>
    <row r="746" spans="1:7" x14ac:dyDescent="0.25">
      <c r="A746">
        <v>8</v>
      </c>
      <c r="B746" t="s">
        <v>191</v>
      </c>
      <c r="C746" s="1">
        <v>43831</v>
      </c>
      <c r="D746" s="1">
        <v>44111</v>
      </c>
      <c r="E746">
        <v>11069533</v>
      </c>
    </row>
    <row r="747" spans="1:7" x14ac:dyDescent="0.25">
      <c r="A747">
        <v>8</v>
      </c>
      <c r="B747" t="s">
        <v>191</v>
      </c>
      <c r="C747" s="1">
        <v>44112</v>
      </c>
      <c r="D747" s="1">
        <v>44433</v>
      </c>
      <c r="E747">
        <v>11100394</v>
      </c>
    </row>
    <row r="748" spans="1:7" x14ac:dyDescent="0.25">
      <c r="A748">
        <v>8</v>
      </c>
      <c r="B748" t="s">
        <v>191</v>
      </c>
      <c r="C748" s="1">
        <v>44434</v>
      </c>
      <c r="D748" s="1">
        <v>44826</v>
      </c>
      <c r="E748">
        <v>11103043</v>
      </c>
      <c r="F748">
        <v>5516636</v>
      </c>
      <c r="G748">
        <v>5586407</v>
      </c>
    </row>
    <row r="749" spans="1:7" x14ac:dyDescent="0.25">
      <c r="A749">
        <v>8</v>
      </c>
      <c r="B749" t="s">
        <v>191</v>
      </c>
      <c r="C749" s="1">
        <v>44827</v>
      </c>
      <c r="D749" s="1">
        <v>117974</v>
      </c>
      <c r="E749">
        <v>11124642</v>
      </c>
      <c r="F749">
        <v>5526110</v>
      </c>
      <c r="G749">
        <v>5598532</v>
      </c>
    </row>
    <row r="750" spans="1:7" x14ac:dyDescent="0.25">
      <c r="A750">
        <v>8111</v>
      </c>
      <c r="B750" t="s">
        <v>192</v>
      </c>
      <c r="C750" s="1">
        <v>43831</v>
      </c>
      <c r="D750" s="1">
        <v>44111</v>
      </c>
      <c r="E750">
        <v>634830</v>
      </c>
    </row>
    <row r="751" spans="1:7" x14ac:dyDescent="0.25">
      <c r="A751">
        <v>8111</v>
      </c>
      <c r="B751" t="s">
        <v>192</v>
      </c>
      <c r="C751" s="1">
        <v>44112</v>
      </c>
      <c r="D751" s="1">
        <v>44433</v>
      </c>
      <c r="E751">
        <v>635911</v>
      </c>
    </row>
    <row r="752" spans="1:7" x14ac:dyDescent="0.25">
      <c r="A752">
        <v>8111</v>
      </c>
      <c r="B752" t="s">
        <v>192</v>
      </c>
      <c r="C752" s="1">
        <v>44434</v>
      </c>
      <c r="D752" s="1">
        <v>44826</v>
      </c>
      <c r="E752">
        <v>630305</v>
      </c>
      <c r="F752">
        <v>314721</v>
      </c>
      <c r="G752">
        <v>315584</v>
      </c>
    </row>
    <row r="753" spans="1:7" x14ac:dyDescent="0.25">
      <c r="A753">
        <v>8111</v>
      </c>
      <c r="B753" t="s">
        <v>192</v>
      </c>
      <c r="C753" s="1">
        <v>44827</v>
      </c>
      <c r="D753" s="1">
        <v>117974</v>
      </c>
      <c r="E753">
        <v>626275</v>
      </c>
      <c r="F753">
        <v>312886</v>
      </c>
      <c r="G753">
        <v>313389</v>
      </c>
    </row>
    <row r="754" spans="1:7" x14ac:dyDescent="0.25">
      <c r="A754">
        <v>8115</v>
      </c>
      <c r="B754" t="s">
        <v>193</v>
      </c>
      <c r="C754" s="1">
        <v>43831</v>
      </c>
      <c r="D754" s="1">
        <v>44111</v>
      </c>
      <c r="E754">
        <v>391640</v>
      </c>
    </row>
    <row r="755" spans="1:7" x14ac:dyDescent="0.25">
      <c r="A755">
        <v>8115</v>
      </c>
      <c r="B755" t="s">
        <v>193</v>
      </c>
      <c r="C755" s="1">
        <v>44112</v>
      </c>
      <c r="D755" s="1">
        <v>44433</v>
      </c>
      <c r="E755">
        <v>392807</v>
      </c>
    </row>
    <row r="756" spans="1:7" x14ac:dyDescent="0.25">
      <c r="A756">
        <v>8115</v>
      </c>
      <c r="B756" t="s">
        <v>193</v>
      </c>
      <c r="C756" s="1">
        <v>44434</v>
      </c>
      <c r="D756" s="1">
        <v>44826</v>
      </c>
      <c r="E756">
        <v>392898</v>
      </c>
      <c r="F756">
        <v>195361</v>
      </c>
      <c r="G756">
        <v>197537</v>
      </c>
    </row>
    <row r="757" spans="1:7" x14ac:dyDescent="0.25">
      <c r="A757">
        <v>8115</v>
      </c>
      <c r="B757" t="s">
        <v>193</v>
      </c>
      <c r="C757" s="1">
        <v>44827</v>
      </c>
      <c r="D757" s="1">
        <v>117974</v>
      </c>
      <c r="E757">
        <v>393195</v>
      </c>
      <c r="F757">
        <v>195513</v>
      </c>
      <c r="G757">
        <v>197682</v>
      </c>
    </row>
    <row r="758" spans="1:7" x14ac:dyDescent="0.25">
      <c r="A758">
        <v>8116</v>
      </c>
      <c r="B758" t="s">
        <v>194</v>
      </c>
      <c r="C758" s="1">
        <v>43831</v>
      </c>
      <c r="D758" s="1">
        <v>44111</v>
      </c>
      <c r="E758">
        <v>533859</v>
      </c>
    </row>
    <row r="759" spans="1:7" x14ac:dyDescent="0.25">
      <c r="A759">
        <v>8116</v>
      </c>
      <c r="B759" t="s">
        <v>194</v>
      </c>
      <c r="C759" s="1">
        <v>44112</v>
      </c>
      <c r="D759" s="1">
        <v>44433</v>
      </c>
      <c r="E759">
        <v>535024</v>
      </c>
    </row>
    <row r="760" spans="1:7" x14ac:dyDescent="0.25">
      <c r="A760">
        <v>8116</v>
      </c>
      <c r="B760" t="s">
        <v>194</v>
      </c>
      <c r="C760" s="1">
        <v>44434</v>
      </c>
      <c r="D760" s="1">
        <v>44826</v>
      </c>
      <c r="E760">
        <v>533617</v>
      </c>
      <c r="F760">
        <v>266492</v>
      </c>
      <c r="G760">
        <v>267125</v>
      </c>
    </row>
    <row r="761" spans="1:7" x14ac:dyDescent="0.25">
      <c r="A761">
        <v>8116</v>
      </c>
      <c r="B761" t="s">
        <v>194</v>
      </c>
      <c r="C761" s="1">
        <v>44827</v>
      </c>
      <c r="D761" s="1">
        <v>117974</v>
      </c>
      <c r="E761">
        <v>533388</v>
      </c>
      <c r="F761">
        <v>266348</v>
      </c>
      <c r="G761">
        <v>267040</v>
      </c>
    </row>
    <row r="762" spans="1:7" x14ac:dyDescent="0.25">
      <c r="A762">
        <v>8117</v>
      </c>
      <c r="B762" t="s">
        <v>195</v>
      </c>
      <c r="C762" s="1">
        <v>43831</v>
      </c>
      <c r="D762" s="1">
        <v>44111</v>
      </c>
      <c r="E762">
        <v>257253</v>
      </c>
    </row>
    <row r="763" spans="1:7" x14ac:dyDescent="0.25">
      <c r="A763">
        <v>8117</v>
      </c>
      <c r="B763" t="s">
        <v>195</v>
      </c>
      <c r="C763" s="1">
        <v>44112</v>
      </c>
      <c r="D763" s="1">
        <v>44433</v>
      </c>
      <c r="E763">
        <v>258145</v>
      </c>
    </row>
    <row r="764" spans="1:7" x14ac:dyDescent="0.25">
      <c r="A764">
        <v>8117</v>
      </c>
      <c r="B764" t="s">
        <v>195</v>
      </c>
      <c r="C764" s="1">
        <v>44434</v>
      </c>
      <c r="D764" s="1">
        <v>44826</v>
      </c>
      <c r="E764">
        <v>258781</v>
      </c>
      <c r="F764">
        <v>129002</v>
      </c>
      <c r="G764">
        <v>129779</v>
      </c>
    </row>
    <row r="765" spans="1:7" x14ac:dyDescent="0.25">
      <c r="A765">
        <v>8117</v>
      </c>
      <c r="B765" t="s">
        <v>195</v>
      </c>
      <c r="C765" s="1">
        <v>44827</v>
      </c>
      <c r="D765" s="1">
        <v>117974</v>
      </c>
      <c r="E765">
        <v>259046</v>
      </c>
      <c r="F765">
        <v>128916</v>
      </c>
      <c r="G765">
        <v>130130</v>
      </c>
    </row>
    <row r="766" spans="1:7" x14ac:dyDescent="0.25">
      <c r="A766">
        <v>8118</v>
      </c>
      <c r="B766" t="s">
        <v>196</v>
      </c>
      <c r="C766" s="1">
        <v>43831</v>
      </c>
      <c r="D766" s="1">
        <v>44111</v>
      </c>
      <c r="E766">
        <v>543984</v>
      </c>
    </row>
    <row r="767" spans="1:7" x14ac:dyDescent="0.25">
      <c r="A767">
        <v>8118</v>
      </c>
      <c r="B767" t="s">
        <v>196</v>
      </c>
      <c r="C767" s="1">
        <v>44112</v>
      </c>
      <c r="D767" s="1">
        <v>44433</v>
      </c>
      <c r="E767">
        <v>545423</v>
      </c>
    </row>
    <row r="768" spans="1:7" x14ac:dyDescent="0.25">
      <c r="A768">
        <v>8118</v>
      </c>
      <c r="B768" t="s">
        <v>196</v>
      </c>
      <c r="C768" s="1">
        <v>44434</v>
      </c>
      <c r="D768" s="1">
        <v>44826</v>
      </c>
      <c r="E768">
        <v>544971</v>
      </c>
      <c r="F768">
        <v>270496</v>
      </c>
      <c r="G768">
        <v>274475</v>
      </c>
    </row>
    <row r="769" spans="1:7" x14ac:dyDescent="0.25">
      <c r="A769">
        <v>8118</v>
      </c>
      <c r="B769" t="s">
        <v>196</v>
      </c>
      <c r="C769" s="1">
        <v>44827</v>
      </c>
      <c r="D769" s="1">
        <v>117974</v>
      </c>
      <c r="E769">
        <v>544679</v>
      </c>
      <c r="F769">
        <v>270057</v>
      </c>
      <c r="G769">
        <v>274622</v>
      </c>
    </row>
    <row r="770" spans="1:7" x14ac:dyDescent="0.25">
      <c r="A770">
        <v>8119</v>
      </c>
      <c r="B770" t="s">
        <v>197</v>
      </c>
      <c r="C770" s="1">
        <v>43831</v>
      </c>
      <c r="D770" s="1">
        <v>44111</v>
      </c>
      <c r="E770">
        <v>426158</v>
      </c>
    </row>
    <row r="771" spans="1:7" x14ac:dyDescent="0.25">
      <c r="A771">
        <v>8119</v>
      </c>
      <c r="B771" t="s">
        <v>197</v>
      </c>
      <c r="C771" s="1">
        <v>44112</v>
      </c>
      <c r="D771" s="1">
        <v>44433</v>
      </c>
      <c r="E771">
        <v>427248</v>
      </c>
    </row>
    <row r="772" spans="1:7" x14ac:dyDescent="0.25">
      <c r="A772">
        <v>8119</v>
      </c>
      <c r="B772" t="s">
        <v>197</v>
      </c>
      <c r="C772" s="1">
        <v>44434</v>
      </c>
      <c r="D772" s="1">
        <v>44826</v>
      </c>
      <c r="E772">
        <v>427286</v>
      </c>
      <c r="F772">
        <v>211269</v>
      </c>
      <c r="G772">
        <v>216017</v>
      </c>
    </row>
    <row r="773" spans="1:7" x14ac:dyDescent="0.25">
      <c r="A773">
        <v>8119</v>
      </c>
      <c r="B773" t="s">
        <v>197</v>
      </c>
      <c r="C773" s="1">
        <v>44827</v>
      </c>
      <c r="D773" s="1">
        <v>117974</v>
      </c>
      <c r="E773">
        <v>427316</v>
      </c>
      <c r="F773">
        <v>211185</v>
      </c>
      <c r="G773">
        <v>216131</v>
      </c>
    </row>
    <row r="774" spans="1:7" x14ac:dyDescent="0.25">
      <c r="A774">
        <v>8121</v>
      </c>
      <c r="B774" t="s">
        <v>198</v>
      </c>
      <c r="C774" s="1">
        <v>43831</v>
      </c>
      <c r="D774" s="1">
        <v>44111</v>
      </c>
      <c r="E774">
        <v>125960</v>
      </c>
    </row>
    <row r="775" spans="1:7" x14ac:dyDescent="0.25">
      <c r="A775">
        <v>8121</v>
      </c>
      <c r="B775" t="s">
        <v>198</v>
      </c>
      <c r="C775" s="1">
        <v>44112</v>
      </c>
      <c r="D775" s="1">
        <v>44433</v>
      </c>
      <c r="E775">
        <v>126592</v>
      </c>
    </row>
    <row r="776" spans="1:7" x14ac:dyDescent="0.25">
      <c r="A776">
        <v>8121</v>
      </c>
      <c r="B776" t="s">
        <v>198</v>
      </c>
      <c r="C776" s="1">
        <v>44434</v>
      </c>
      <c r="D776" s="1">
        <v>44826</v>
      </c>
      <c r="E776">
        <v>126458</v>
      </c>
      <c r="F776">
        <v>63756</v>
      </c>
      <c r="G776">
        <v>62702</v>
      </c>
    </row>
    <row r="777" spans="1:7" x14ac:dyDescent="0.25">
      <c r="A777">
        <v>8121</v>
      </c>
      <c r="B777" t="s">
        <v>198</v>
      </c>
      <c r="C777" s="1">
        <v>44827</v>
      </c>
      <c r="D777" s="1">
        <v>117974</v>
      </c>
      <c r="E777">
        <v>125613</v>
      </c>
      <c r="F777">
        <v>63138</v>
      </c>
      <c r="G777">
        <v>62475</v>
      </c>
    </row>
    <row r="778" spans="1:7" x14ac:dyDescent="0.25">
      <c r="A778">
        <v>8125</v>
      </c>
      <c r="B778" t="s">
        <v>199</v>
      </c>
      <c r="C778" s="1">
        <v>43831</v>
      </c>
      <c r="D778" s="1">
        <v>44111</v>
      </c>
      <c r="E778">
        <v>343068</v>
      </c>
    </row>
    <row r="779" spans="1:7" x14ac:dyDescent="0.25">
      <c r="A779">
        <v>8125</v>
      </c>
      <c r="B779" t="s">
        <v>199</v>
      </c>
      <c r="C779" s="1">
        <v>44112</v>
      </c>
      <c r="D779" s="1">
        <v>44433</v>
      </c>
      <c r="E779">
        <v>344456</v>
      </c>
    </row>
    <row r="780" spans="1:7" x14ac:dyDescent="0.25">
      <c r="A780">
        <v>8125</v>
      </c>
      <c r="B780" t="s">
        <v>199</v>
      </c>
      <c r="C780" s="1">
        <v>44434</v>
      </c>
      <c r="D780" s="1">
        <v>44826</v>
      </c>
      <c r="E780">
        <v>346363</v>
      </c>
      <c r="F780">
        <v>173850</v>
      </c>
      <c r="G780">
        <v>172513</v>
      </c>
    </row>
    <row r="781" spans="1:7" x14ac:dyDescent="0.25">
      <c r="A781">
        <v>8125</v>
      </c>
      <c r="B781" t="s">
        <v>199</v>
      </c>
      <c r="C781" s="1">
        <v>44827</v>
      </c>
      <c r="D781" s="1">
        <v>117974</v>
      </c>
      <c r="E781">
        <v>347798</v>
      </c>
      <c r="F781">
        <v>174514</v>
      </c>
      <c r="G781">
        <v>173284</v>
      </c>
    </row>
    <row r="782" spans="1:7" x14ac:dyDescent="0.25">
      <c r="A782">
        <v>8126</v>
      </c>
      <c r="B782" t="s">
        <v>200</v>
      </c>
      <c r="C782" s="1">
        <v>43831</v>
      </c>
      <c r="D782" s="1">
        <v>44111</v>
      </c>
      <c r="E782">
        <v>112010</v>
      </c>
    </row>
    <row r="783" spans="1:7" x14ac:dyDescent="0.25">
      <c r="A783">
        <v>8126</v>
      </c>
      <c r="B783" t="s">
        <v>200</v>
      </c>
      <c r="C783" s="1">
        <v>44112</v>
      </c>
      <c r="D783" s="1">
        <v>44433</v>
      </c>
      <c r="E783">
        <v>112655</v>
      </c>
    </row>
    <row r="784" spans="1:7" x14ac:dyDescent="0.25">
      <c r="A784">
        <v>8126</v>
      </c>
      <c r="B784" t="s">
        <v>200</v>
      </c>
      <c r="C784" s="1">
        <v>44434</v>
      </c>
      <c r="D784" s="1">
        <v>44826</v>
      </c>
      <c r="E784">
        <v>112765</v>
      </c>
      <c r="F784">
        <v>56886</v>
      </c>
      <c r="G784">
        <v>55879</v>
      </c>
    </row>
    <row r="785" spans="1:7" x14ac:dyDescent="0.25">
      <c r="A785">
        <v>8126</v>
      </c>
      <c r="B785" t="s">
        <v>200</v>
      </c>
      <c r="C785" s="1">
        <v>44827</v>
      </c>
      <c r="D785" s="1">
        <v>117974</v>
      </c>
      <c r="E785">
        <v>113318</v>
      </c>
      <c r="F785">
        <v>57184</v>
      </c>
      <c r="G785">
        <v>56134</v>
      </c>
    </row>
    <row r="786" spans="1:7" x14ac:dyDescent="0.25">
      <c r="A786">
        <v>8127</v>
      </c>
      <c r="B786" t="s">
        <v>201</v>
      </c>
      <c r="C786" s="1">
        <v>43831</v>
      </c>
      <c r="D786" s="1">
        <v>44111</v>
      </c>
      <c r="E786">
        <v>195861</v>
      </c>
    </row>
    <row r="787" spans="1:7" x14ac:dyDescent="0.25">
      <c r="A787">
        <v>8127</v>
      </c>
      <c r="B787" t="s">
        <v>201</v>
      </c>
      <c r="C787" s="1">
        <v>44112</v>
      </c>
      <c r="D787" s="1">
        <v>44433</v>
      </c>
      <c r="E787">
        <v>196761</v>
      </c>
    </row>
    <row r="788" spans="1:7" x14ac:dyDescent="0.25">
      <c r="A788">
        <v>8127</v>
      </c>
      <c r="B788" t="s">
        <v>201</v>
      </c>
      <c r="C788" s="1">
        <v>44434</v>
      </c>
      <c r="D788" s="1">
        <v>44826</v>
      </c>
      <c r="E788">
        <v>197860</v>
      </c>
      <c r="F788">
        <v>99297</v>
      </c>
      <c r="G788">
        <v>98563</v>
      </c>
    </row>
    <row r="789" spans="1:7" x14ac:dyDescent="0.25">
      <c r="A789">
        <v>8127</v>
      </c>
      <c r="B789" t="s">
        <v>201</v>
      </c>
      <c r="C789" s="1">
        <v>44827</v>
      </c>
      <c r="D789" s="1">
        <v>117974</v>
      </c>
      <c r="E789">
        <v>199398</v>
      </c>
      <c r="F789">
        <v>100206</v>
      </c>
      <c r="G789">
        <v>99192</v>
      </c>
    </row>
    <row r="790" spans="1:7" x14ac:dyDescent="0.25">
      <c r="A790">
        <v>8128</v>
      </c>
      <c r="B790" t="s">
        <v>202</v>
      </c>
      <c r="C790" s="1">
        <v>43831</v>
      </c>
      <c r="D790" s="1">
        <v>44111</v>
      </c>
      <c r="E790">
        <v>132321</v>
      </c>
    </row>
    <row r="791" spans="1:7" x14ac:dyDescent="0.25">
      <c r="A791">
        <v>8128</v>
      </c>
      <c r="B791" t="s">
        <v>202</v>
      </c>
      <c r="C791" s="1">
        <v>44112</v>
      </c>
      <c r="D791" s="1">
        <v>44433</v>
      </c>
      <c r="E791">
        <v>132399</v>
      </c>
    </row>
    <row r="792" spans="1:7" x14ac:dyDescent="0.25">
      <c r="A792">
        <v>8128</v>
      </c>
      <c r="B792" t="s">
        <v>202</v>
      </c>
      <c r="C792" s="1">
        <v>44434</v>
      </c>
      <c r="D792" s="1">
        <v>44826</v>
      </c>
      <c r="E792">
        <v>132684</v>
      </c>
      <c r="F792">
        <v>66226</v>
      </c>
      <c r="G792">
        <v>66458</v>
      </c>
    </row>
    <row r="793" spans="1:7" x14ac:dyDescent="0.25">
      <c r="A793">
        <v>8128</v>
      </c>
      <c r="B793" t="s">
        <v>202</v>
      </c>
      <c r="C793" s="1">
        <v>44827</v>
      </c>
      <c r="D793" s="1">
        <v>117974</v>
      </c>
      <c r="E793">
        <v>132956</v>
      </c>
      <c r="F793">
        <v>66403</v>
      </c>
      <c r="G793">
        <v>66553</v>
      </c>
    </row>
    <row r="794" spans="1:7" x14ac:dyDescent="0.25">
      <c r="A794">
        <v>8135</v>
      </c>
      <c r="B794" t="s">
        <v>203</v>
      </c>
      <c r="C794" s="1">
        <v>43831</v>
      </c>
      <c r="D794" s="1">
        <v>44111</v>
      </c>
      <c r="E794">
        <v>132472</v>
      </c>
    </row>
    <row r="795" spans="1:7" x14ac:dyDescent="0.25">
      <c r="A795">
        <v>8135</v>
      </c>
      <c r="B795" t="s">
        <v>203</v>
      </c>
      <c r="C795" s="1">
        <v>44112</v>
      </c>
      <c r="D795" s="1">
        <v>44433</v>
      </c>
      <c r="E795">
        <v>132777</v>
      </c>
    </row>
    <row r="796" spans="1:7" x14ac:dyDescent="0.25">
      <c r="A796">
        <v>8135</v>
      </c>
      <c r="B796" t="s">
        <v>203</v>
      </c>
      <c r="C796" s="1">
        <v>44434</v>
      </c>
      <c r="D796" s="1">
        <v>44826</v>
      </c>
      <c r="E796">
        <v>132812</v>
      </c>
      <c r="F796">
        <v>66132</v>
      </c>
      <c r="G796">
        <v>66680</v>
      </c>
    </row>
    <row r="797" spans="1:7" x14ac:dyDescent="0.25">
      <c r="A797">
        <v>8135</v>
      </c>
      <c r="B797" t="s">
        <v>203</v>
      </c>
      <c r="C797" s="1">
        <v>44827</v>
      </c>
      <c r="D797" s="1">
        <v>117974</v>
      </c>
      <c r="E797">
        <v>132958</v>
      </c>
      <c r="F797">
        <v>66273</v>
      </c>
      <c r="G797">
        <v>66685</v>
      </c>
    </row>
    <row r="798" spans="1:7" x14ac:dyDescent="0.25">
      <c r="A798">
        <v>8136</v>
      </c>
      <c r="B798" t="s">
        <v>204</v>
      </c>
      <c r="C798" s="1">
        <v>43831</v>
      </c>
      <c r="D798" s="1">
        <v>44111</v>
      </c>
      <c r="E798">
        <v>314002</v>
      </c>
    </row>
    <row r="799" spans="1:7" x14ac:dyDescent="0.25">
      <c r="A799">
        <v>8136</v>
      </c>
      <c r="B799" t="s">
        <v>204</v>
      </c>
      <c r="C799" s="1">
        <v>44112</v>
      </c>
      <c r="D799" s="1">
        <v>44433</v>
      </c>
      <c r="E799">
        <v>314025</v>
      </c>
    </row>
    <row r="800" spans="1:7" x14ac:dyDescent="0.25">
      <c r="A800">
        <v>8136</v>
      </c>
      <c r="B800" t="s">
        <v>204</v>
      </c>
      <c r="C800" s="1">
        <v>44434</v>
      </c>
      <c r="D800" s="1">
        <v>44826</v>
      </c>
      <c r="E800">
        <v>314294</v>
      </c>
      <c r="F800">
        <v>156574</v>
      </c>
      <c r="G800">
        <v>157720</v>
      </c>
    </row>
    <row r="801" spans="1:7" x14ac:dyDescent="0.25">
      <c r="A801">
        <v>8136</v>
      </c>
      <c r="B801" t="s">
        <v>204</v>
      </c>
      <c r="C801" s="1">
        <v>44827</v>
      </c>
      <c r="D801" s="1">
        <v>117974</v>
      </c>
      <c r="E801">
        <v>315009</v>
      </c>
      <c r="F801">
        <v>156818</v>
      </c>
      <c r="G801">
        <v>158191</v>
      </c>
    </row>
    <row r="802" spans="1:7" x14ac:dyDescent="0.25">
      <c r="A802">
        <v>8211</v>
      </c>
      <c r="B802" t="s">
        <v>205</v>
      </c>
      <c r="C802" s="1">
        <v>43831</v>
      </c>
      <c r="D802" s="1">
        <v>44111</v>
      </c>
      <c r="E802">
        <v>55123</v>
      </c>
    </row>
    <row r="803" spans="1:7" x14ac:dyDescent="0.25">
      <c r="A803">
        <v>8211</v>
      </c>
      <c r="B803" t="s">
        <v>205</v>
      </c>
      <c r="C803" s="1">
        <v>44112</v>
      </c>
      <c r="D803" s="1">
        <v>44433</v>
      </c>
      <c r="E803">
        <v>55185</v>
      </c>
    </row>
    <row r="804" spans="1:7" x14ac:dyDescent="0.25">
      <c r="A804">
        <v>8211</v>
      </c>
      <c r="B804" t="s">
        <v>205</v>
      </c>
      <c r="C804" s="1">
        <v>44434</v>
      </c>
      <c r="D804" s="1">
        <v>44826</v>
      </c>
      <c r="E804">
        <v>55449</v>
      </c>
      <c r="F804">
        <v>26664</v>
      </c>
      <c r="G804">
        <v>28785</v>
      </c>
    </row>
    <row r="805" spans="1:7" x14ac:dyDescent="0.25">
      <c r="A805">
        <v>8211</v>
      </c>
      <c r="B805" t="s">
        <v>205</v>
      </c>
      <c r="C805" s="1">
        <v>44827</v>
      </c>
      <c r="D805" s="1">
        <v>117974</v>
      </c>
      <c r="E805">
        <v>55527</v>
      </c>
      <c r="F805">
        <v>26715</v>
      </c>
      <c r="G805">
        <v>28812</v>
      </c>
    </row>
    <row r="806" spans="1:7" x14ac:dyDescent="0.25">
      <c r="A806">
        <v>8212</v>
      </c>
      <c r="B806" t="s">
        <v>206</v>
      </c>
      <c r="C806" s="1">
        <v>43831</v>
      </c>
      <c r="D806" s="1">
        <v>44111</v>
      </c>
      <c r="E806">
        <v>313092</v>
      </c>
    </row>
    <row r="807" spans="1:7" x14ac:dyDescent="0.25">
      <c r="A807">
        <v>8212</v>
      </c>
      <c r="B807" t="s">
        <v>206</v>
      </c>
      <c r="C807" s="1">
        <v>44112</v>
      </c>
      <c r="D807" s="1">
        <v>44433</v>
      </c>
      <c r="E807">
        <v>312060</v>
      </c>
    </row>
    <row r="808" spans="1:7" x14ac:dyDescent="0.25">
      <c r="A808">
        <v>8212</v>
      </c>
      <c r="B808" t="s">
        <v>206</v>
      </c>
      <c r="C808" s="1">
        <v>44434</v>
      </c>
      <c r="D808" s="1">
        <v>44826</v>
      </c>
      <c r="E808">
        <v>308436</v>
      </c>
      <c r="F808">
        <v>157729</v>
      </c>
      <c r="G808">
        <v>150707</v>
      </c>
    </row>
    <row r="809" spans="1:7" x14ac:dyDescent="0.25">
      <c r="A809">
        <v>8212</v>
      </c>
      <c r="B809" t="s">
        <v>206</v>
      </c>
      <c r="C809" s="1">
        <v>44827</v>
      </c>
      <c r="D809" s="1">
        <v>117974</v>
      </c>
      <c r="E809">
        <v>306502</v>
      </c>
      <c r="F809">
        <v>156807</v>
      </c>
      <c r="G809">
        <v>149695</v>
      </c>
    </row>
    <row r="810" spans="1:7" x14ac:dyDescent="0.25">
      <c r="A810">
        <v>8215</v>
      </c>
      <c r="B810" t="s">
        <v>207</v>
      </c>
      <c r="C810" s="1">
        <v>43831</v>
      </c>
      <c r="D810" s="1">
        <v>44111</v>
      </c>
      <c r="E810">
        <v>444232</v>
      </c>
    </row>
    <row r="811" spans="1:7" x14ac:dyDescent="0.25">
      <c r="A811">
        <v>8215</v>
      </c>
      <c r="B811" t="s">
        <v>207</v>
      </c>
      <c r="C811" s="1">
        <v>44112</v>
      </c>
      <c r="D811" s="1">
        <v>44433</v>
      </c>
      <c r="E811">
        <v>445101</v>
      </c>
    </row>
    <row r="812" spans="1:7" x14ac:dyDescent="0.25">
      <c r="A812">
        <v>8215</v>
      </c>
      <c r="B812" t="s">
        <v>207</v>
      </c>
      <c r="C812" s="1">
        <v>44434</v>
      </c>
      <c r="D812" s="1">
        <v>44826</v>
      </c>
      <c r="E812">
        <v>446852</v>
      </c>
      <c r="F812">
        <v>222525</v>
      </c>
      <c r="G812">
        <v>224327</v>
      </c>
    </row>
    <row r="813" spans="1:7" x14ac:dyDescent="0.25">
      <c r="A813">
        <v>8215</v>
      </c>
      <c r="B813" t="s">
        <v>207</v>
      </c>
      <c r="C813" s="1">
        <v>44827</v>
      </c>
      <c r="D813" s="1">
        <v>117974</v>
      </c>
      <c r="E813">
        <v>448487</v>
      </c>
      <c r="F813">
        <v>223284</v>
      </c>
      <c r="G813">
        <v>225203</v>
      </c>
    </row>
    <row r="814" spans="1:7" x14ac:dyDescent="0.25">
      <c r="A814">
        <v>8216</v>
      </c>
      <c r="B814" t="s">
        <v>208</v>
      </c>
      <c r="C814" s="1">
        <v>43831</v>
      </c>
      <c r="D814" s="1">
        <v>44111</v>
      </c>
      <c r="E814">
        <v>231018</v>
      </c>
    </row>
    <row r="815" spans="1:7" x14ac:dyDescent="0.25">
      <c r="A815">
        <v>8216</v>
      </c>
      <c r="B815" t="s">
        <v>208</v>
      </c>
      <c r="C815" s="1">
        <v>44112</v>
      </c>
      <c r="D815" s="1">
        <v>44433</v>
      </c>
      <c r="E815">
        <v>231420</v>
      </c>
    </row>
    <row r="816" spans="1:7" x14ac:dyDescent="0.25">
      <c r="A816">
        <v>8216</v>
      </c>
      <c r="B816" t="s">
        <v>208</v>
      </c>
      <c r="C816" s="1">
        <v>44434</v>
      </c>
      <c r="D816" s="1">
        <v>44826</v>
      </c>
      <c r="E816">
        <v>232091</v>
      </c>
      <c r="F816">
        <v>115311</v>
      </c>
      <c r="G816">
        <v>116780</v>
      </c>
    </row>
    <row r="817" spans="1:7" x14ac:dyDescent="0.25">
      <c r="A817">
        <v>8216</v>
      </c>
      <c r="B817" t="s">
        <v>208</v>
      </c>
      <c r="C817" s="1">
        <v>44827</v>
      </c>
      <c r="D817" s="1">
        <v>117974</v>
      </c>
      <c r="E817">
        <v>232296</v>
      </c>
      <c r="F817">
        <v>115408</v>
      </c>
      <c r="G817">
        <v>116888</v>
      </c>
    </row>
    <row r="818" spans="1:7" x14ac:dyDescent="0.25">
      <c r="A818">
        <v>8221</v>
      </c>
      <c r="B818" t="s">
        <v>209</v>
      </c>
      <c r="C818" s="1">
        <v>43831</v>
      </c>
      <c r="D818" s="1">
        <v>44111</v>
      </c>
      <c r="E818">
        <v>160355</v>
      </c>
    </row>
    <row r="819" spans="1:7" x14ac:dyDescent="0.25">
      <c r="A819">
        <v>8221</v>
      </c>
      <c r="B819" t="s">
        <v>209</v>
      </c>
      <c r="C819" s="1">
        <v>44112</v>
      </c>
      <c r="D819" s="1">
        <v>44433</v>
      </c>
      <c r="E819">
        <v>161485</v>
      </c>
    </row>
    <row r="820" spans="1:7" x14ac:dyDescent="0.25">
      <c r="A820">
        <v>8221</v>
      </c>
      <c r="B820" t="s">
        <v>209</v>
      </c>
      <c r="C820" s="1">
        <v>44434</v>
      </c>
      <c r="D820" s="1">
        <v>44826</v>
      </c>
      <c r="E820">
        <v>158741</v>
      </c>
      <c r="F820">
        <v>76264</v>
      </c>
      <c r="G820">
        <v>82477</v>
      </c>
    </row>
    <row r="821" spans="1:7" x14ac:dyDescent="0.25">
      <c r="A821">
        <v>8221</v>
      </c>
      <c r="B821" t="s">
        <v>209</v>
      </c>
      <c r="C821" s="1">
        <v>44827</v>
      </c>
      <c r="D821" s="1">
        <v>117974</v>
      </c>
      <c r="E821">
        <v>159245</v>
      </c>
      <c r="F821">
        <v>76316</v>
      </c>
      <c r="G821">
        <v>82929</v>
      </c>
    </row>
    <row r="822" spans="1:7" x14ac:dyDescent="0.25">
      <c r="A822">
        <v>8222</v>
      </c>
      <c r="B822" t="s">
        <v>210</v>
      </c>
      <c r="C822" s="1">
        <v>43831</v>
      </c>
      <c r="D822" s="1">
        <v>44111</v>
      </c>
      <c r="E822">
        <v>309370</v>
      </c>
    </row>
    <row r="823" spans="1:7" x14ac:dyDescent="0.25">
      <c r="A823">
        <v>8222</v>
      </c>
      <c r="B823" t="s">
        <v>210</v>
      </c>
      <c r="C823" s="1">
        <v>44112</v>
      </c>
      <c r="D823" s="1">
        <v>44433</v>
      </c>
      <c r="E823">
        <v>310658</v>
      </c>
    </row>
    <row r="824" spans="1:7" x14ac:dyDescent="0.25">
      <c r="A824">
        <v>8222</v>
      </c>
      <c r="B824" t="s">
        <v>210</v>
      </c>
      <c r="C824" s="1">
        <v>44434</v>
      </c>
      <c r="D824" s="1">
        <v>44826</v>
      </c>
      <c r="E824">
        <v>309721</v>
      </c>
      <c r="F824">
        <v>154262</v>
      </c>
      <c r="G824">
        <v>155459</v>
      </c>
    </row>
    <row r="825" spans="1:7" x14ac:dyDescent="0.25">
      <c r="A825">
        <v>8222</v>
      </c>
      <c r="B825" t="s">
        <v>210</v>
      </c>
      <c r="C825" s="1">
        <v>44827</v>
      </c>
      <c r="D825" s="1">
        <v>117974</v>
      </c>
      <c r="E825">
        <v>311831</v>
      </c>
      <c r="F825">
        <v>155561</v>
      </c>
      <c r="G825">
        <v>156270</v>
      </c>
    </row>
    <row r="826" spans="1:7" x14ac:dyDescent="0.25">
      <c r="A826">
        <v>8225</v>
      </c>
      <c r="B826" t="s">
        <v>211</v>
      </c>
      <c r="C826" s="1">
        <v>43831</v>
      </c>
      <c r="D826" s="1">
        <v>44111</v>
      </c>
      <c r="E826">
        <v>143535</v>
      </c>
    </row>
    <row r="827" spans="1:7" x14ac:dyDescent="0.25">
      <c r="A827">
        <v>8225</v>
      </c>
      <c r="B827" t="s">
        <v>211</v>
      </c>
      <c r="C827" s="1">
        <v>44112</v>
      </c>
      <c r="D827" s="1">
        <v>44433</v>
      </c>
      <c r="E827">
        <v>143633</v>
      </c>
    </row>
    <row r="828" spans="1:7" x14ac:dyDescent="0.25">
      <c r="A828">
        <v>8225</v>
      </c>
      <c r="B828" t="s">
        <v>211</v>
      </c>
      <c r="C828" s="1">
        <v>44434</v>
      </c>
      <c r="D828" s="1">
        <v>44826</v>
      </c>
      <c r="E828">
        <v>143797</v>
      </c>
      <c r="F828">
        <v>72251</v>
      </c>
      <c r="G828">
        <v>71546</v>
      </c>
    </row>
    <row r="829" spans="1:7" x14ac:dyDescent="0.25">
      <c r="A829">
        <v>8225</v>
      </c>
      <c r="B829" t="s">
        <v>211</v>
      </c>
      <c r="C829" s="1">
        <v>44827</v>
      </c>
      <c r="D829" s="1">
        <v>117974</v>
      </c>
      <c r="E829">
        <v>143929</v>
      </c>
      <c r="F829">
        <v>72230</v>
      </c>
      <c r="G829">
        <v>71699</v>
      </c>
    </row>
    <row r="830" spans="1:7" x14ac:dyDescent="0.25">
      <c r="A830">
        <v>8226</v>
      </c>
      <c r="B830" t="s">
        <v>212</v>
      </c>
      <c r="C830" s="1">
        <v>43831</v>
      </c>
      <c r="D830" s="1">
        <v>44111</v>
      </c>
      <c r="E830">
        <v>547625</v>
      </c>
    </row>
    <row r="831" spans="1:7" x14ac:dyDescent="0.25">
      <c r="A831">
        <v>8226</v>
      </c>
      <c r="B831" t="s">
        <v>212</v>
      </c>
      <c r="C831" s="1">
        <v>44112</v>
      </c>
      <c r="D831" s="1">
        <v>44433</v>
      </c>
      <c r="E831">
        <v>548355</v>
      </c>
    </row>
    <row r="832" spans="1:7" x14ac:dyDescent="0.25">
      <c r="A832">
        <v>8226</v>
      </c>
      <c r="B832" t="s">
        <v>212</v>
      </c>
      <c r="C832" s="1">
        <v>44434</v>
      </c>
      <c r="D832" s="1">
        <v>44826</v>
      </c>
      <c r="E832">
        <v>548233</v>
      </c>
      <c r="F832">
        <v>269639</v>
      </c>
      <c r="G832">
        <v>278594</v>
      </c>
    </row>
    <row r="833" spans="1:7" x14ac:dyDescent="0.25">
      <c r="A833">
        <v>8226</v>
      </c>
      <c r="B833" t="s">
        <v>212</v>
      </c>
      <c r="C833" s="1">
        <v>44827</v>
      </c>
      <c r="D833" s="1">
        <v>117974</v>
      </c>
      <c r="E833">
        <v>549030</v>
      </c>
      <c r="F833">
        <v>269753</v>
      </c>
      <c r="G833">
        <v>279277</v>
      </c>
    </row>
    <row r="834" spans="1:7" x14ac:dyDescent="0.25">
      <c r="A834">
        <v>8231</v>
      </c>
      <c r="B834" t="s">
        <v>213</v>
      </c>
      <c r="C834" s="1">
        <v>43831</v>
      </c>
      <c r="D834" s="1">
        <v>44111</v>
      </c>
      <c r="E834">
        <v>125542</v>
      </c>
    </row>
    <row r="835" spans="1:7" x14ac:dyDescent="0.25">
      <c r="A835">
        <v>8231</v>
      </c>
      <c r="B835" t="s">
        <v>213</v>
      </c>
      <c r="C835" s="1">
        <v>44112</v>
      </c>
      <c r="D835" s="1">
        <v>44433</v>
      </c>
      <c r="E835">
        <v>125957</v>
      </c>
    </row>
    <row r="836" spans="1:7" x14ac:dyDescent="0.25">
      <c r="A836">
        <v>8231</v>
      </c>
      <c r="B836" t="s">
        <v>213</v>
      </c>
      <c r="C836" s="1">
        <v>44434</v>
      </c>
      <c r="D836" s="1">
        <v>44826</v>
      </c>
      <c r="E836">
        <v>126016</v>
      </c>
      <c r="F836">
        <v>62075</v>
      </c>
      <c r="G836">
        <v>63941</v>
      </c>
    </row>
    <row r="837" spans="1:7" x14ac:dyDescent="0.25">
      <c r="A837">
        <v>8231</v>
      </c>
      <c r="B837" t="s">
        <v>213</v>
      </c>
      <c r="C837" s="1">
        <v>44827</v>
      </c>
      <c r="D837" s="1">
        <v>117974</v>
      </c>
      <c r="E837">
        <v>125529</v>
      </c>
      <c r="F837">
        <v>61855</v>
      </c>
      <c r="G837">
        <v>63674</v>
      </c>
    </row>
    <row r="838" spans="1:7" x14ac:dyDescent="0.25">
      <c r="A838">
        <v>8235</v>
      </c>
      <c r="B838" t="s">
        <v>214</v>
      </c>
      <c r="C838" s="1">
        <v>43831</v>
      </c>
      <c r="D838" s="1">
        <v>44111</v>
      </c>
      <c r="E838">
        <v>158397</v>
      </c>
    </row>
    <row r="839" spans="1:7" x14ac:dyDescent="0.25">
      <c r="A839">
        <v>8235</v>
      </c>
      <c r="B839" t="s">
        <v>214</v>
      </c>
      <c r="C839" s="1">
        <v>44112</v>
      </c>
      <c r="D839" s="1">
        <v>44433</v>
      </c>
      <c r="E839">
        <v>159201</v>
      </c>
    </row>
    <row r="840" spans="1:7" x14ac:dyDescent="0.25">
      <c r="A840">
        <v>8235</v>
      </c>
      <c r="B840" t="s">
        <v>214</v>
      </c>
      <c r="C840" s="1">
        <v>44434</v>
      </c>
      <c r="D840" s="1">
        <v>44826</v>
      </c>
      <c r="E840">
        <v>160149</v>
      </c>
      <c r="F840">
        <v>80330</v>
      </c>
      <c r="G840">
        <v>79819</v>
      </c>
    </row>
    <row r="841" spans="1:7" x14ac:dyDescent="0.25">
      <c r="A841">
        <v>8235</v>
      </c>
      <c r="B841" t="s">
        <v>214</v>
      </c>
      <c r="C841" s="1">
        <v>44827</v>
      </c>
      <c r="D841" s="1">
        <v>117974</v>
      </c>
      <c r="E841">
        <v>160686</v>
      </c>
      <c r="F841">
        <v>80687</v>
      </c>
      <c r="G841">
        <v>79999</v>
      </c>
    </row>
    <row r="842" spans="1:7" x14ac:dyDescent="0.25">
      <c r="A842">
        <v>8236</v>
      </c>
      <c r="B842" t="s">
        <v>215</v>
      </c>
      <c r="C842" s="1">
        <v>43831</v>
      </c>
      <c r="D842" s="1">
        <v>44111</v>
      </c>
      <c r="E842">
        <v>198905</v>
      </c>
    </row>
    <row r="843" spans="1:7" x14ac:dyDescent="0.25">
      <c r="A843">
        <v>8236</v>
      </c>
      <c r="B843" t="s">
        <v>215</v>
      </c>
      <c r="C843" s="1">
        <v>44112</v>
      </c>
      <c r="D843" s="1">
        <v>44433</v>
      </c>
      <c r="E843">
        <v>199556</v>
      </c>
    </row>
    <row r="844" spans="1:7" x14ac:dyDescent="0.25">
      <c r="A844">
        <v>8236</v>
      </c>
      <c r="B844" t="s">
        <v>215</v>
      </c>
      <c r="C844" s="1">
        <v>44434</v>
      </c>
      <c r="D844" s="1">
        <v>44826</v>
      </c>
      <c r="E844">
        <v>199752</v>
      </c>
      <c r="F844">
        <v>99079</v>
      </c>
      <c r="G844">
        <v>100673</v>
      </c>
    </row>
    <row r="845" spans="1:7" x14ac:dyDescent="0.25">
      <c r="A845">
        <v>8236</v>
      </c>
      <c r="B845" t="s">
        <v>215</v>
      </c>
      <c r="C845" s="1">
        <v>44827</v>
      </c>
      <c r="D845" s="1">
        <v>117974</v>
      </c>
      <c r="E845">
        <v>200237</v>
      </c>
      <c r="F845">
        <v>99211</v>
      </c>
      <c r="G845">
        <v>101026</v>
      </c>
    </row>
    <row r="846" spans="1:7" x14ac:dyDescent="0.25">
      <c r="A846">
        <v>8237</v>
      </c>
      <c r="B846" t="s">
        <v>216</v>
      </c>
      <c r="C846" s="1">
        <v>43831</v>
      </c>
      <c r="D846" s="1">
        <v>44111</v>
      </c>
      <c r="E846">
        <v>117935</v>
      </c>
    </row>
    <row r="847" spans="1:7" x14ac:dyDescent="0.25">
      <c r="A847">
        <v>8237</v>
      </c>
      <c r="B847" t="s">
        <v>216</v>
      </c>
      <c r="C847" s="1">
        <v>44112</v>
      </c>
      <c r="D847" s="1">
        <v>44433</v>
      </c>
      <c r="E847">
        <v>118243</v>
      </c>
    </row>
    <row r="848" spans="1:7" x14ac:dyDescent="0.25">
      <c r="A848">
        <v>8237</v>
      </c>
      <c r="B848" t="s">
        <v>216</v>
      </c>
      <c r="C848" s="1">
        <v>44434</v>
      </c>
      <c r="D848" s="1">
        <v>44826</v>
      </c>
      <c r="E848">
        <v>118364</v>
      </c>
      <c r="F848">
        <v>59172</v>
      </c>
      <c r="G848">
        <v>59192</v>
      </c>
    </row>
    <row r="849" spans="1:7" x14ac:dyDescent="0.25">
      <c r="A849">
        <v>8237</v>
      </c>
      <c r="B849" t="s">
        <v>216</v>
      </c>
      <c r="C849" s="1">
        <v>44827</v>
      </c>
      <c r="D849" s="1">
        <v>117974</v>
      </c>
      <c r="E849">
        <v>119183</v>
      </c>
      <c r="F849">
        <v>59539</v>
      </c>
      <c r="G849">
        <v>59644</v>
      </c>
    </row>
    <row r="850" spans="1:7" x14ac:dyDescent="0.25">
      <c r="A850">
        <v>8311</v>
      </c>
      <c r="B850" t="s">
        <v>217</v>
      </c>
      <c r="C850" s="1">
        <v>43831</v>
      </c>
      <c r="D850" s="1">
        <v>44111</v>
      </c>
      <c r="E850">
        <v>230241</v>
      </c>
    </row>
    <row r="851" spans="1:7" x14ac:dyDescent="0.25">
      <c r="A851">
        <v>8311</v>
      </c>
      <c r="B851" t="s">
        <v>217</v>
      </c>
      <c r="C851" s="1">
        <v>44112</v>
      </c>
      <c r="D851" s="1">
        <v>44433</v>
      </c>
      <c r="E851">
        <v>231195</v>
      </c>
    </row>
    <row r="852" spans="1:7" x14ac:dyDescent="0.25">
      <c r="A852">
        <v>8311</v>
      </c>
      <c r="B852" t="s">
        <v>217</v>
      </c>
      <c r="C852" s="1">
        <v>44434</v>
      </c>
      <c r="D852" s="1">
        <v>44826</v>
      </c>
      <c r="E852">
        <v>230940</v>
      </c>
      <c r="F852">
        <v>110242</v>
      </c>
      <c r="G852">
        <v>120698</v>
      </c>
    </row>
    <row r="853" spans="1:7" x14ac:dyDescent="0.25">
      <c r="A853">
        <v>8311</v>
      </c>
      <c r="B853" t="s">
        <v>217</v>
      </c>
      <c r="C853" s="1">
        <v>44827</v>
      </c>
      <c r="D853" s="1">
        <v>117974</v>
      </c>
      <c r="E853">
        <v>231848</v>
      </c>
      <c r="F853">
        <v>110660</v>
      </c>
      <c r="G853">
        <v>121188</v>
      </c>
    </row>
    <row r="854" spans="1:7" x14ac:dyDescent="0.25">
      <c r="A854">
        <v>8315</v>
      </c>
      <c r="B854" t="s">
        <v>218</v>
      </c>
      <c r="C854" s="1">
        <v>43831</v>
      </c>
      <c r="D854" s="1">
        <v>44111</v>
      </c>
      <c r="E854">
        <v>262795</v>
      </c>
    </row>
    <row r="855" spans="1:7" x14ac:dyDescent="0.25">
      <c r="A855">
        <v>8315</v>
      </c>
      <c r="B855" t="s">
        <v>218</v>
      </c>
      <c r="C855" s="1">
        <v>44112</v>
      </c>
      <c r="D855" s="1">
        <v>44433</v>
      </c>
      <c r="E855">
        <v>263601</v>
      </c>
    </row>
    <row r="856" spans="1:7" x14ac:dyDescent="0.25">
      <c r="A856">
        <v>8315</v>
      </c>
      <c r="B856" t="s">
        <v>218</v>
      </c>
      <c r="C856" s="1">
        <v>44434</v>
      </c>
      <c r="D856" s="1">
        <v>44826</v>
      </c>
      <c r="E856">
        <v>264867</v>
      </c>
      <c r="F856">
        <v>130620</v>
      </c>
      <c r="G856">
        <v>134247</v>
      </c>
    </row>
    <row r="857" spans="1:7" x14ac:dyDescent="0.25">
      <c r="A857">
        <v>8315</v>
      </c>
      <c r="B857" t="s">
        <v>218</v>
      </c>
      <c r="C857" s="1">
        <v>44827</v>
      </c>
      <c r="D857" s="1">
        <v>117974</v>
      </c>
      <c r="E857">
        <v>265792</v>
      </c>
      <c r="F857">
        <v>131044</v>
      </c>
      <c r="G857">
        <v>134748</v>
      </c>
    </row>
    <row r="858" spans="1:7" x14ac:dyDescent="0.25">
      <c r="A858">
        <v>8316</v>
      </c>
      <c r="B858" t="s">
        <v>219</v>
      </c>
      <c r="C858" s="1">
        <v>43831</v>
      </c>
      <c r="D858" s="1">
        <v>44111</v>
      </c>
      <c r="E858">
        <v>165383</v>
      </c>
    </row>
    <row r="859" spans="1:7" x14ac:dyDescent="0.25">
      <c r="A859">
        <v>8316</v>
      </c>
      <c r="B859" t="s">
        <v>219</v>
      </c>
      <c r="C859" s="1">
        <v>44112</v>
      </c>
      <c r="D859" s="1">
        <v>44433</v>
      </c>
      <c r="E859">
        <v>166408</v>
      </c>
    </row>
    <row r="860" spans="1:7" x14ac:dyDescent="0.25">
      <c r="A860">
        <v>8316</v>
      </c>
      <c r="B860" t="s">
        <v>219</v>
      </c>
      <c r="C860" s="1">
        <v>44434</v>
      </c>
      <c r="D860" s="1">
        <v>44826</v>
      </c>
      <c r="E860">
        <v>166862</v>
      </c>
      <c r="F860">
        <v>82600</v>
      </c>
      <c r="G860">
        <v>84262</v>
      </c>
    </row>
    <row r="861" spans="1:7" x14ac:dyDescent="0.25">
      <c r="A861">
        <v>8316</v>
      </c>
      <c r="B861" t="s">
        <v>219</v>
      </c>
      <c r="C861" s="1">
        <v>44827</v>
      </c>
      <c r="D861" s="1">
        <v>117974</v>
      </c>
      <c r="E861">
        <v>167945</v>
      </c>
      <c r="F861">
        <v>83146</v>
      </c>
      <c r="G861">
        <v>84799</v>
      </c>
    </row>
    <row r="862" spans="1:7" x14ac:dyDescent="0.25">
      <c r="A862">
        <v>8317</v>
      </c>
      <c r="B862" t="s">
        <v>220</v>
      </c>
      <c r="C862" s="1">
        <v>43831</v>
      </c>
      <c r="D862" s="1">
        <v>44111</v>
      </c>
      <c r="E862">
        <v>429479</v>
      </c>
    </row>
    <row r="863" spans="1:7" x14ac:dyDescent="0.25">
      <c r="A863">
        <v>8317</v>
      </c>
      <c r="B863" t="s">
        <v>220</v>
      </c>
      <c r="C863" s="1">
        <v>44112</v>
      </c>
      <c r="D863" s="1">
        <v>44433</v>
      </c>
      <c r="E863">
        <v>430953</v>
      </c>
    </row>
    <row r="864" spans="1:7" x14ac:dyDescent="0.25">
      <c r="A864">
        <v>8317</v>
      </c>
      <c r="B864" t="s">
        <v>220</v>
      </c>
      <c r="C864" s="1">
        <v>44434</v>
      </c>
      <c r="D864" s="1">
        <v>44826</v>
      </c>
      <c r="E864">
        <v>432580</v>
      </c>
      <c r="F864">
        <v>215894</v>
      </c>
      <c r="G864">
        <v>216686</v>
      </c>
    </row>
    <row r="865" spans="1:7" x14ac:dyDescent="0.25">
      <c r="A865">
        <v>8317</v>
      </c>
      <c r="B865" t="s">
        <v>220</v>
      </c>
      <c r="C865" s="1">
        <v>44827</v>
      </c>
      <c r="D865" s="1">
        <v>117974</v>
      </c>
      <c r="E865">
        <v>434535</v>
      </c>
      <c r="F865">
        <v>216889</v>
      </c>
      <c r="G865">
        <v>217646</v>
      </c>
    </row>
    <row r="866" spans="1:7" x14ac:dyDescent="0.25">
      <c r="A866">
        <v>8325</v>
      </c>
      <c r="B866" t="s">
        <v>221</v>
      </c>
      <c r="C866" s="1">
        <v>43831</v>
      </c>
      <c r="D866" s="1">
        <v>44111</v>
      </c>
      <c r="E866">
        <v>139455</v>
      </c>
    </row>
    <row r="867" spans="1:7" x14ac:dyDescent="0.25">
      <c r="A867">
        <v>8325</v>
      </c>
      <c r="B867" t="s">
        <v>221</v>
      </c>
      <c r="C867" s="1">
        <v>44112</v>
      </c>
      <c r="D867" s="1">
        <v>44433</v>
      </c>
      <c r="E867">
        <v>139878</v>
      </c>
    </row>
    <row r="868" spans="1:7" x14ac:dyDescent="0.25">
      <c r="A868">
        <v>8325</v>
      </c>
      <c r="B868" t="s">
        <v>221</v>
      </c>
      <c r="C868" s="1">
        <v>44434</v>
      </c>
      <c r="D868" s="1">
        <v>44826</v>
      </c>
      <c r="E868">
        <v>140166</v>
      </c>
      <c r="F868">
        <v>70101</v>
      </c>
      <c r="G868">
        <v>70065</v>
      </c>
    </row>
    <row r="869" spans="1:7" x14ac:dyDescent="0.25">
      <c r="A869">
        <v>8325</v>
      </c>
      <c r="B869" t="s">
        <v>221</v>
      </c>
      <c r="C869" s="1">
        <v>44827</v>
      </c>
      <c r="D869" s="1">
        <v>117974</v>
      </c>
      <c r="E869">
        <v>140446</v>
      </c>
      <c r="F869">
        <v>70361</v>
      </c>
      <c r="G869">
        <v>70085</v>
      </c>
    </row>
    <row r="870" spans="1:7" x14ac:dyDescent="0.25">
      <c r="A870">
        <v>8326</v>
      </c>
      <c r="B870" t="s">
        <v>222</v>
      </c>
      <c r="C870" s="1">
        <v>43831</v>
      </c>
      <c r="D870" s="1">
        <v>44111</v>
      </c>
      <c r="E870">
        <v>212381</v>
      </c>
    </row>
    <row r="871" spans="1:7" x14ac:dyDescent="0.25">
      <c r="A871">
        <v>8326</v>
      </c>
      <c r="B871" t="s">
        <v>222</v>
      </c>
      <c r="C871" s="1">
        <v>44112</v>
      </c>
      <c r="D871" s="1">
        <v>44433</v>
      </c>
      <c r="E871">
        <v>212506</v>
      </c>
    </row>
    <row r="872" spans="1:7" x14ac:dyDescent="0.25">
      <c r="A872">
        <v>8326</v>
      </c>
      <c r="B872" t="s">
        <v>222</v>
      </c>
      <c r="C872" s="1">
        <v>44434</v>
      </c>
      <c r="D872" s="1">
        <v>44826</v>
      </c>
      <c r="E872">
        <v>212872</v>
      </c>
      <c r="F872">
        <v>105493</v>
      </c>
      <c r="G872">
        <v>107379</v>
      </c>
    </row>
    <row r="873" spans="1:7" x14ac:dyDescent="0.25">
      <c r="A873">
        <v>8326</v>
      </c>
      <c r="B873" t="s">
        <v>222</v>
      </c>
      <c r="C873" s="1">
        <v>44827</v>
      </c>
      <c r="D873" s="1">
        <v>117974</v>
      </c>
      <c r="E873">
        <v>213385</v>
      </c>
      <c r="F873">
        <v>105679</v>
      </c>
      <c r="G873">
        <v>107706</v>
      </c>
    </row>
    <row r="874" spans="1:7" x14ac:dyDescent="0.25">
      <c r="A874">
        <v>8327</v>
      </c>
      <c r="B874" t="s">
        <v>223</v>
      </c>
      <c r="C874" s="1">
        <v>43831</v>
      </c>
      <c r="D874" s="1">
        <v>44111</v>
      </c>
      <c r="E874">
        <v>140152</v>
      </c>
    </row>
    <row r="875" spans="1:7" x14ac:dyDescent="0.25">
      <c r="A875">
        <v>8327</v>
      </c>
      <c r="B875" t="s">
        <v>223</v>
      </c>
      <c r="C875" s="1">
        <v>44112</v>
      </c>
      <c r="D875" s="1">
        <v>44433</v>
      </c>
      <c r="E875">
        <v>140766</v>
      </c>
    </row>
    <row r="876" spans="1:7" x14ac:dyDescent="0.25">
      <c r="A876">
        <v>8327</v>
      </c>
      <c r="B876" t="s">
        <v>223</v>
      </c>
      <c r="C876" s="1">
        <v>44434</v>
      </c>
      <c r="D876" s="1">
        <v>44826</v>
      </c>
      <c r="E876">
        <v>141682</v>
      </c>
      <c r="F876">
        <v>71329</v>
      </c>
      <c r="G876">
        <v>70353</v>
      </c>
    </row>
    <row r="877" spans="1:7" x14ac:dyDescent="0.25">
      <c r="A877">
        <v>8327</v>
      </c>
      <c r="B877" t="s">
        <v>223</v>
      </c>
      <c r="C877" s="1">
        <v>44827</v>
      </c>
      <c r="D877" s="1">
        <v>117974</v>
      </c>
      <c r="E877">
        <v>142414</v>
      </c>
      <c r="F877">
        <v>71732</v>
      </c>
      <c r="G877">
        <v>70682</v>
      </c>
    </row>
    <row r="878" spans="1:7" x14ac:dyDescent="0.25">
      <c r="A878">
        <v>8335</v>
      </c>
      <c r="B878" t="s">
        <v>224</v>
      </c>
      <c r="C878" s="1">
        <v>43831</v>
      </c>
      <c r="D878" s="1">
        <v>44111</v>
      </c>
      <c r="E878">
        <v>285325</v>
      </c>
    </row>
    <row r="879" spans="1:7" x14ac:dyDescent="0.25">
      <c r="A879">
        <v>8335</v>
      </c>
      <c r="B879" t="s">
        <v>224</v>
      </c>
      <c r="C879" s="1">
        <v>44112</v>
      </c>
      <c r="D879" s="1">
        <v>44433</v>
      </c>
      <c r="E879">
        <v>286305</v>
      </c>
    </row>
    <row r="880" spans="1:7" x14ac:dyDescent="0.25">
      <c r="A880">
        <v>8335</v>
      </c>
      <c r="B880" t="s">
        <v>224</v>
      </c>
      <c r="C880" s="1">
        <v>44434</v>
      </c>
      <c r="D880" s="1">
        <v>44826</v>
      </c>
      <c r="E880">
        <v>286876</v>
      </c>
      <c r="F880">
        <v>139527</v>
      </c>
      <c r="G880">
        <v>147349</v>
      </c>
    </row>
    <row r="881" spans="1:7" x14ac:dyDescent="0.25">
      <c r="A881">
        <v>8335</v>
      </c>
      <c r="B881" t="s">
        <v>224</v>
      </c>
      <c r="C881" s="1">
        <v>44827</v>
      </c>
      <c r="D881" s="1">
        <v>117974</v>
      </c>
      <c r="E881">
        <v>288097</v>
      </c>
      <c r="F881">
        <v>139966</v>
      </c>
      <c r="G881">
        <v>148131</v>
      </c>
    </row>
    <row r="882" spans="1:7" x14ac:dyDescent="0.25">
      <c r="A882">
        <v>8336</v>
      </c>
      <c r="B882" t="s">
        <v>225</v>
      </c>
      <c r="C882" s="1">
        <v>43831</v>
      </c>
      <c r="D882" s="1">
        <v>44111</v>
      </c>
      <c r="E882">
        <v>228639</v>
      </c>
    </row>
    <row r="883" spans="1:7" x14ac:dyDescent="0.25">
      <c r="A883">
        <v>8336</v>
      </c>
      <c r="B883" t="s">
        <v>225</v>
      </c>
      <c r="C883" s="1">
        <v>44112</v>
      </c>
      <c r="D883" s="1">
        <v>44433</v>
      </c>
      <c r="E883">
        <v>228736</v>
      </c>
    </row>
    <row r="884" spans="1:7" x14ac:dyDescent="0.25">
      <c r="A884">
        <v>8336</v>
      </c>
      <c r="B884" t="s">
        <v>225</v>
      </c>
      <c r="C884" s="1">
        <v>44434</v>
      </c>
      <c r="D884" s="1">
        <v>44826</v>
      </c>
      <c r="E884">
        <v>228842</v>
      </c>
      <c r="F884">
        <v>112270</v>
      </c>
      <c r="G884">
        <v>116572</v>
      </c>
    </row>
    <row r="885" spans="1:7" x14ac:dyDescent="0.25">
      <c r="A885">
        <v>8336</v>
      </c>
      <c r="B885" t="s">
        <v>225</v>
      </c>
      <c r="C885" s="1">
        <v>44827</v>
      </c>
      <c r="D885" s="1">
        <v>117974</v>
      </c>
      <c r="E885">
        <v>229445</v>
      </c>
      <c r="F885">
        <v>112631</v>
      </c>
      <c r="G885">
        <v>116814</v>
      </c>
    </row>
    <row r="886" spans="1:7" x14ac:dyDescent="0.25">
      <c r="A886">
        <v>8337</v>
      </c>
      <c r="B886" t="s">
        <v>226</v>
      </c>
      <c r="C886" s="1">
        <v>43831</v>
      </c>
      <c r="D886" s="1">
        <v>44111</v>
      </c>
      <c r="E886">
        <v>170619</v>
      </c>
    </row>
    <row r="887" spans="1:7" x14ac:dyDescent="0.25">
      <c r="A887">
        <v>8337</v>
      </c>
      <c r="B887" t="s">
        <v>226</v>
      </c>
      <c r="C887" s="1">
        <v>44112</v>
      </c>
      <c r="D887" s="1">
        <v>44433</v>
      </c>
      <c r="E887">
        <v>171003</v>
      </c>
    </row>
    <row r="888" spans="1:7" x14ac:dyDescent="0.25">
      <c r="A888">
        <v>8337</v>
      </c>
      <c r="B888" t="s">
        <v>226</v>
      </c>
      <c r="C888" s="1">
        <v>44434</v>
      </c>
      <c r="D888" s="1">
        <v>44826</v>
      </c>
      <c r="E888">
        <v>171237</v>
      </c>
      <c r="F888">
        <v>84980</v>
      </c>
      <c r="G888">
        <v>86257</v>
      </c>
    </row>
    <row r="889" spans="1:7" x14ac:dyDescent="0.25">
      <c r="A889">
        <v>8337</v>
      </c>
      <c r="B889" t="s">
        <v>226</v>
      </c>
      <c r="C889" s="1">
        <v>44827</v>
      </c>
      <c r="D889" s="1">
        <v>117974</v>
      </c>
      <c r="E889">
        <v>171249</v>
      </c>
      <c r="F889">
        <v>84942</v>
      </c>
      <c r="G889">
        <v>86307</v>
      </c>
    </row>
    <row r="890" spans="1:7" x14ac:dyDescent="0.25">
      <c r="A890">
        <v>8415</v>
      </c>
      <c r="B890" t="s">
        <v>227</v>
      </c>
      <c r="C890" s="1">
        <v>43831</v>
      </c>
      <c r="D890" s="1">
        <v>44111</v>
      </c>
      <c r="E890">
        <v>286748</v>
      </c>
    </row>
    <row r="891" spans="1:7" x14ac:dyDescent="0.25">
      <c r="A891">
        <v>8415</v>
      </c>
      <c r="B891" t="s">
        <v>227</v>
      </c>
      <c r="C891" s="1">
        <v>44112</v>
      </c>
      <c r="D891" s="1">
        <v>44433</v>
      </c>
      <c r="E891">
        <v>287034</v>
      </c>
    </row>
    <row r="892" spans="1:7" x14ac:dyDescent="0.25">
      <c r="A892">
        <v>8415</v>
      </c>
      <c r="B892" t="s">
        <v>227</v>
      </c>
      <c r="C892" s="1">
        <v>44434</v>
      </c>
      <c r="D892" s="1">
        <v>44826</v>
      </c>
      <c r="E892">
        <v>287497</v>
      </c>
      <c r="F892">
        <v>142572</v>
      </c>
      <c r="G892">
        <v>144925</v>
      </c>
    </row>
    <row r="893" spans="1:7" x14ac:dyDescent="0.25">
      <c r="A893">
        <v>8415</v>
      </c>
      <c r="B893" t="s">
        <v>227</v>
      </c>
      <c r="C893" s="1">
        <v>44827</v>
      </c>
      <c r="D893" s="1">
        <v>117974</v>
      </c>
      <c r="E893">
        <v>288158</v>
      </c>
      <c r="F893">
        <v>142900</v>
      </c>
      <c r="G893">
        <v>145258</v>
      </c>
    </row>
    <row r="894" spans="1:7" x14ac:dyDescent="0.25">
      <c r="A894">
        <v>8416</v>
      </c>
      <c r="B894" t="s">
        <v>228</v>
      </c>
      <c r="C894" s="1">
        <v>43831</v>
      </c>
      <c r="D894" s="1">
        <v>44111</v>
      </c>
      <c r="E894">
        <v>227331</v>
      </c>
    </row>
    <row r="895" spans="1:7" x14ac:dyDescent="0.25">
      <c r="A895">
        <v>8416</v>
      </c>
      <c r="B895" t="s">
        <v>228</v>
      </c>
      <c r="C895" s="1">
        <v>44112</v>
      </c>
      <c r="D895" s="1">
        <v>44433</v>
      </c>
      <c r="E895">
        <v>228678</v>
      </c>
    </row>
    <row r="896" spans="1:7" x14ac:dyDescent="0.25">
      <c r="A896">
        <v>8416</v>
      </c>
      <c r="B896" t="s">
        <v>228</v>
      </c>
      <c r="C896" s="1">
        <v>44434</v>
      </c>
      <c r="D896" s="1">
        <v>44826</v>
      </c>
      <c r="E896">
        <v>228471</v>
      </c>
      <c r="F896">
        <v>111380</v>
      </c>
      <c r="G896">
        <v>117091</v>
      </c>
    </row>
    <row r="897" spans="1:7" x14ac:dyDescent="0.25">
      <c r="A897">
        <v>8416</v>
      </c>
      <c r="B897" t="s">
        <v>228</v>
      </c>
      <c r="C897" s="1">
        <v>44827</v>
      </c>
      <c r="D897" s="1">
        <v>117974</v>
      </c>
      <c r="E897">
        <v>229806</v>
      </c>
      <c r="F897">
        <v>111879</v>
      </c>
      <c r="G897">
        <v>117927</v>
      </c>
    </row>
    <row r="898" spans="1:7" x14ac:dyDescent="0.25">
      <c r="A898">
        <v>8417</v>
      </c>
      <c r="B898" t="s">
        <v>229</v>
      </c>
      <c r="C898" s="1">
        <v>43831</v>
      </c>
      <c r="D898" s="1">
        <v>44111</v>
      </c>
      <c r="E898">
        <v>188935</v>
      </c>
    </row>
    <row r="899" spans="1:7" x14ac:dyDescent="0.25">
      <c r="A899">
        <v>8417</v>
      </c>
      <c r="B899" t="s">
        <v>229</v>
      </c>
      <c r="C899" s="1">
        <v>44112</v>
      </c>
      <c r="D899" s="1">
        <v>44433</v>
      </c>
      <c r="E899">
        <v>189363</v>
      </c>
    </row>
    <row r="900" spans="1:7" x14ac:dyDescent="0.25">
      <c r="A900">
        <v>8417</v>
      </c>
      <c r="B900" t="s">
        <v>229</v>
      </c>
      <c r="C900" s="1">
        <v>44434</v>
      </c>
      <c r="D900" s="1">
        <v>44826</v>
      </c>
      <c r="E900">
        <v>189862</v>
      </c>
      <c r="F900">
        <v>94179</v>
      </c>
      <c r="G900">
        <v>95683</v>
      </c>
    </row>
    <row r="901" spans="1:7" x14ac:dyDescent="0.25">
      <c r="A901">
        <v>8417</v>
      </c>
      <c r="B901" t="s">
        <v>229</v>
      </c>
      <c r="C901" s="1">
        <v>44827</v>
      </c>
      <c r="D901" s="1">
        <v>117974</v>
      </c>
      <c r="E901">
        <v>190545</v>
      </c>
      <c r="F901">
        <v>94483</v>
      </c>
      <c r="G901">
        <v>96062</v>
      </c>
    </row>
    <row r="902" spans="1:7" x14ac:dyDescent="0.25">
      <c r="A902">
        <v>8421</v>
      </c>
      <c r="B902" t="s">
        <v>230</v>
      </c>
      <c r="C902" s="1">
        <v>43831</v>
      </c>
      <c r="D902" s="1">
        <v>44111</v>
      </c>
      <c r="E902">
        <v>126329</v>
      </c>
    </row>
    <row r="903" spans="1:7" x14ac:dyDescent="0.25">
      <c r="A903">
        <v>8421</v>
      </c>
      <c r="B903" t="s">
        <v>230</v>
      </c>
      <c r="C903" s="1">
        <v>44112</v>
      </c>
      <c r="D903" s="1">
        <v>44433</v>
      </c>
      <c r="E903">
        <v>126790</v>
      </c>
    </row>
    <row r="904" spans="1:7" x14ac:dyDescent="0.25">
      <c r="A904">
        <v>8421</v>
      </c>
      <c r="B904" t="s">
        <v>230</v>
      </c>
      <c r="C904" s="1">
        <v>44434</v>
      </c>
      <c r="D904" s="1">
        <v>44826</v>
      </c>
      <c r="E904">
        <v>126405</v>
      </c>
      <c r="F904">
        <v>62745</v>
      </c>
      <c r="G904">
        <v>63660</v>
      </c>
    </row>
    <row r="905" spans="1:7" x14ac:dyDescent="0.25">
      <c r="A905">
        <v>8421</v>
      </c>
      <c r="B905" t="s">
        <v>230</v>
      </c>
      <c r="C905" s="1">
        <v>44827</v>
      </c>
      <c r="D905" s="1">
        <v>117974</v>
      </c>
      <c r="E905">
        <v>126949</v>
      </c>
      <c r="F905">
        <v>62943</v>
      </c>
      <c r="G905">
        <v>64006</v>
      </c>
    </row>
    <row r="906" spans="1:7" x14ac:dyDescent="0.25">
      <c r="A906">
        <v>8425</v>
      </c>
      <c r="B906" t="s">
        <v>231</v>
      </c>
      <c r="C906" s="1">
        <v>43831</v>
      </c>
      <c r="D906" s="1">
        <v>44111</v>
      </c>
      <c r="E906">
        <v>196047</v>
      </c>
    </row>
    <row r="907" spans="1:7" x14ac:dyDescent="0.25">
      <c r="A907">
        <v>8425</v>
      </c>
      <c r="B907" t="s">
        <v>231</v>
      </c>
      <c r="C907" s="1">
        <v>44112</v>
      </c>
      <c r="D907" s="1">
        <v>44433</v>
      </c>
      <c r="E907">
        <v>197076</v>
      </c>
    </row>
    <row r="908" spans="1:7" x14ac:dyDescent="0.25">
      <c r="A908">
        <v>8425</v>
      </c>
      <c r="B908" t="s">
        <v>231</v>
      </c>
      <c r="C908" s="1">
        <v>44434</v>
      </c>
      <c r="D908" s="1">
        <v>44826</v>
      </c>
      <c r="E908">
        <v>198204</v>
      </c>
      <c r="F908">
        <v>99998</v>
      </c>
      <c r="G908">
        <v>98206</v>
      </c>
    </row>
    <row r="909" spans="1:7" x14ac:dyDescent="0.25">
      <c r="A909">
        <v>8425</v>
      </c>
      <c r="B909" t="s">
        <v>231</v>
      </c>
      <c r="C909" s="1">
        <v>44827</v>
      </c>
      <c r="D909" s="1">
        <v>117974</v>
      </c>
      <c r="E909">
        <v>199732</v>
      </c>
      <c r="F909">
        <v>100725</v>
      </c>
      <c r="G909">
        <v>99007</v>
      </c>
    </row>
    <row r="910" spans="1:7" x14ac:dyDescent="0.25">
      <c r="A910">
        <v>8426</v>
      </c>
      <c r="B910" t="s">
        <v>232</v>
      </c>
      <c r="C910" s="1">
        <v>43831</v>
      </c>
      <c r="D910" s="1">
        <v>44111</v>
      </c>
      <c r="E910">
        <v>199742</v>
      </c>
    </row>
    <row r="911" spans="1:7" x14ac:dyDescent="0.25">
      <c r="A911">
        <v>8426</v>
      </c>
      <c r="B911" t="s">
        <v>232</v>
      </c>
      <c r="C911" s="1">
        <v>44112</v>
      </c>
      <c r="D911" s="1">
        <v>44433</v>
      </c>
      <c r="E911">
        <v>201282</v>
      </c>
    </row>
    <row r="912" spans="1:7" x14ac:dyDescent="0.25">
      <c r="A912">
        <v>8426</v>
      </c>
      <c r="B912" t="s">
        <v>232</v>
      </c>
      <c r="C912" s="1">
        <v>44434</v>
      </c>
      <c r="D912" s="1">
        <v>44826</v>
      </c>
      <c r="E912">
        <v>202250</v>
      </c>
      <c r="F912">
        <v>101831</v>
      </c>
      <c r="G912">
        <v>100419</v>
      </c>
    </row>
    <row r="913" spans="1:7" x14ac:dyDescent="0.25">
      <c r="A913">
        <v>8426</v>
      </c>
      <c r="B913" t="s">
        <v>232</v>
      </c>
      <c r="C913" s="1">
        <v>44827</v>
      </c>
      <c r="D913" s="1">
        <v>117974</v>
      </c>
      <c r="E913">
        <v>203244</v>
      </c>
      <c r="F913">
        <v>102385</v>
      </c>
      <c r="G913">
        <v>100859</v>
      </c>
    </row>
    <row r="914" spans="1:7" x14ac:dyDescent="0.25">
      <c r="A914">
        <v>8435</v>
      </c>
      <c r="B914" t="s">
        <v>233</v>
      </c>
      <c r="C914" s="1">
        <v>43831</v>
      </c>
      <c r="D914" s="1">
        <v>44111</v>
      </c>
      <c r="E914">
        <v>216227</v>
      </c>
    </row>
    <row r="915" spans="1:7" x14ac:dyDescent="0.25">
      <c r="A915">
        <v>8435</v>
      </c>
      <c r="B915" t="s">
        <v>233</v>
      </c>
      <c r="C915" s="1">
        <v>44112</v>
      </c>
      <c r="D915" s="1">
        <v>44433</v>
      </c>
      <c r="E915">
        <v>217470</v>
      </c>
    </row>
    <row r="916" spans="1:7" x14ac:dyDescent="0.25">
      <c r="A916">
        <v>8435</v>
      </c>
      <c r="B916" t="s">
        <v>233</v>
      </c>
      <c r="C916" s="1">
        <v>44434</v>
      </c>
      <c r="D916" s="1">
        <v>44826</v>
      </c>
      <c r="E916">
        <v>217901</v>
      </c>
      <c r="F916">
        <v>107350</v>
      </c>
      <c r="G916">
        <v>110551</v>
      </c>
    </row>
    <row r="917" spans="1:7" x14ac:dyDescent="0.25">
      <c r="A917">
        <v>8435</v>
      </c>
      <c r="B917" t="s">
        <v>233</v>
      </c>
      <c r="C917" s="1">
        <v>44827</v>
      </c>
      <c r="D917" s="1">
        <v>117974</v>
      </c>
      <c r="E917">
        <v>218885</v>
      </c>
      <c r="F917">
        <v>107741</v>
      </c>
      <c r="G917">
        <v>111144</v>
      </c>
    </row>
    <row r="918" spans="1:7" x14ac:dyDescent="0.25">
      <c r="A918">
        <v>8436</v>
      </c>
      <c r="B918" t="s">
        <v>234</v>
      </c>
      <c r="C918" s="1">
        <v>43831</v>
      </c>
      <c r="D918" s="1">
        <v>44111</v>
      </c>
      <c r="E918">
        <v>284285</v>
      </c>
    </row>
    <row r="919" spans="1:7" x14ac:dyDescent="0.25">
      <c r="A919">
        <v>8436</v>
      </c>
      <c r="B919" t="s">
        <v>234</v>
      </c>
      <c r="C919" s="1">
        <v>44112</v>
      </c>
      <c r="D919" s="1">
        <v>44433</v>
      </c>
      <c r="E919">
        <v>285424</v>
      </c>
    </row>
    <row r="920" spans="1:7" x14ac:dyDescent="0.25">
      <c r="A920">
        <v>8436</v>
      </c>
      <c r="B920" t="s">
        <v>234</v>
      </c>
      <c r="C920" s="1">
        <v>44434</v>
      </c>
      <c r="D920" s="1">
        <v>44826</v>
      </c>
      <c r="E920">
        <v>285888</v>
      </c>
      <c r="F920">
        <v>142446</v>
      </c>
      <c r="G920">
        <v>143442</v>
      </c>
    </row>
    <row r="921" spans="1:7" x14ac:dyDescent="0.25">
      <c r="A921">
        <v>8436</v>
      </c>
      <c r="B921" t="s">
        <v>234</v>
      </c>
      <c r="C921" s="1">
        <v>44827</v>
      </c>
      <c r="D921" s="1">
        <v>117974</v>
      </c>
      <c r="E921">
        <v>287011</v>
      </c>
      <c r="F921">
        <v>143027</v>
      </c>
      <c r="G921">
        <v>143984</v>
      </c>
    </row>
    <row r="922" spans="1:7" x14ac:dyDescent="0.25">
      <c r="A922">
        <v>8437</v>
      </c>
      <c r="B922" t="s">
        <v>235</v>
      </c>
      <c r="C922" s="1">
        <v>43831</v>
      </c>
      <c r="D922" s="1">
        <v>44111</v>
      </c>
      <c r="E922">
        <v>130873</v>
      </c>
    </row>
    <row r="923" spans="1:7" x14ac:dyDescent="0.25">
      <c r="A923">
        <v>8437</v>
      </c>
      <c r="B923" t="s">
        <v>235</v>
      </c>
      <c r="C923" s="1">
        <v>44112</v>
      </c>
      <c r="D923" s="1">
        <v>44433</v>
      </c>
      <c r="E923">
        <v>130849</v>
      </c>
    </row>
    <row r="924" spans="1:7" x14ac:dyDescent="0.25">
      <c r="A924">
        <v>8437</v>
      </c>
      <c r="B924" t="s">
        <v>235</v>
      </c>
      <c r="C924" s="1">
        <v>44434</v>
      </c>
      <c r="D924" s="1">
        <v>44826</v>
      </c>
      <c r="E924">
        <v>130946</v>
      </c>
      <c r="F924">
        <v>65716</v>
      </c>
      <c r="G924">
        <v>65230</v>
      </c>
    </row>
    <row r="925" spans="1:7" x14ac:dyDescent="0.25">
      <c r="A925">
        <v>8437</v>
      </c>
      <c r="B925" t="s">
        <v>235</v>
      </c>
      <c r="C925" s="1">
        <v>44827</v>
      </c>
      <c r="D925" s="1">
        <v>117974</v>
      </c>
      <c r="E925">
        <v>131725</v>
      </c>
      <c r="F925">
        <v>66170</v>
      </c>
      <c r="G925">
        <v>65555</v>
      </c>
    </row>
    <row r="926" spans="1:7" x14ac:dyDescent="0.25">
      <c r="A926">
        <v>9</v>
      </c>
      <c r="B926" t="s">
        <v>236</v>
      </c>
      <c r="C926" s="1">
        <v>43831</v>
      </c>
      <c r="D926" s="1">
        <v>44111</v>
      </c>
      <c r="E926">
        <v>13076721</v>
      </c>
    </row>
    <row r="927" spans="1:7" x14ac:dyDescent="0.25">
      <c r="A927">
        <v>9</v>
      </c>
      <c r="B927" t="s">
        <v>236</v>
      </c>
      <c r="C927" s="1">
        <v>44112</v>
      </c>
      <c r="D927" s="1">
        <v>44433</v>
      </c>
      <c r="E927">
        <v>13124737</v>
      </c>
    </row>
    <row r="928" spans="1:7" x14ac:dyDescent="0.25">
      <c r="A928">
        <v>9</v>
      </c>
      <c r="B928" t="s">
        <v>236</v>
      </c>
      <c r="C928" s="1">
        <v>44434</v>
      </c>
      <c r="D928" s="1">
        <v>44826</v>
      </c>
      <c r="E928">
        <v>13140183</v>
      </c>
      <c r="F928">
        <v>6512595</v>
      </c>
      <c r="G928">
        <v>6627588</v>
      </c>
    </row>
    <row r="929" spans="1:7" x14ac:dyDescent="0.25">
      <c r="A929">
        <v>9</v>
      </c>
      <c r="B929" t="s">
        <v>236</v>
      </c>
      <c r="C929" s="1">
        <v>44827</v>
      </c>
      <c r="D929" s="1">
        <v>117974</v>
      </c>
      <c r="E929">
        <v>13176989</v>
      </c>
      <c r="F929">
        <v>6532222</v>
      </c>
      <c r="G929">
        <v>6644767</v>
      </c>
    </row>
    <row r="930" spans="1:7" x14ac:dyDescent="0.25">
      <c r="A930">
        <v>9161</v>
      </c>
      <c r="B930" t="s">
        <v>237</v>
      </c>
      <c r="C930" s="1">
        <v>43831</v>
      </c>
      <c r="D930" s="1">
        <v>44111</v>
      </c>
      <c r="E930">
        <v>136981</v>
      </c>
    </row>
    <row r="931" spans="1:7" x14ac:dyDescent="0.25">
      <c r="A931">
        <v>9161</v>
      </c>
      <c r="B931" t="s">
        <v>237</v>
      </c>
      <c r="C931" s="1">
        <v>44112</v>
      </c>
      <c r="D931" s="1">
        <v>44433</v>
      </c>
      <c r="E931">
        <v>137392</v>
      </c>
    </row>
    <row r="932" spans="1:7" x14ac:dyDescent="0.25">
      <c r="A932">
        <v>9161</v>
      </c>
      <c r="B932" t="s">
        <v>237</v>
      </c>
      <c r="C932" s="1">
        <v>44434</v>
      </c>
      <c r="D932" s="1">
        <v>44826</v>
      </c>
      <c r="E932">
        <v>136952</v>
      </c>
      <c r="F932">
        <v>69201</v>
      </c>
      <c r="G932">
        <v>67751</v>
      </c>
    </row>
    <row r="933" spans="1:7" x14ac:dyDescent="0.25">
      <c r="A933">
        <v>9161</v>
      </c>
      <c r="B933" t="s">
        <v>237</v>
      </c>
      <c r="C933" s="1">
        <v>44827</v>
      </c>
      <c r="D933" s="1">
        <v>117974</v>
      </c>
      <c r="E933">
        <v>138016</v>
      </c>
      <c r="F933">
        <v>69858</v>
      </c>
      <c r="G933">
        <v>68158</v>
      </c>
    </row>
    <row r="934" spans="1:7" x14ac:dyDescent="0.25">
      <c r="A934">
        <v>9162</v>
      </c>
      <c r="B934" t="s">
        <v>238</v>
      </c>
      <c r="C934" s="1">
        <v>43831</v>
      </c>
      <c r="D934" s="1">
        <v>44111</v>
      </c>
      <c r="E934">
        <v>1471508</v>
      </c>
    </row>
    <row r="935" spans="1:7" x14ac:dyDescent="0.25">
      <c r="A935">
        <v>9162</v>
      </c>
      <c r="B935" t="s">
        <v>238</v>
      </c>
      <c r="C935" s="1">
        <v>44112</v>
      </c>
      <c r="D935" s="1">
        <v>44433</v>
      </c>
      <c r="E935">
        <v>1484226</v>
      </c>
    </row>
    <row r="936" spans="1:7" x14ac:dyDescent="0.25">
      <c r="A936">
        <v>9162</v>
      </c>
      <c r="B936" t="s">
        <v>238</v>
      </c>
      <c r="C936" s="1">
        <v>44434</v>
      </c>
      <c r="D936" s="1">
        <v>44826</v>
      </c>
      <c r="E936">
        <v>1488202</v>
      </c>
      <c r="F936">
        <v>725905</v>
      </c>
      <c r="G936">
        <v>762297</v>
      </c>
    </row>
    <row r="937" spans="1:7" x14ac:dyDescent="0.25">
      <c r="A937">
        <v>9162</v>
      </c>
      <c r="B937" t="s">
        <v>238</v>
      </c>
      <c r="C937" s="1">
        <v>44827</v>
      </c>
      <c r="D937" s="1">
        <v>117974</v>
      </c>
      <c r="E937">
        <v>1487708</v>
      </c>
      <c r="F937">
        <v>725594</v>
      </c>
      <c r="G937">
        <v>762114</v>
      </c>
    </row>
    <row r="938" spans="1:7" x14ac:dyDescent="0.25">
      <c r="A938">
        <v>9163</v>
      </c>
      <c r="B938" t="s">
        <v>239</v>
      </c>
      <c r="C938" s="1">
        <v>43831</v>
      </c>
      <c r="D938" s="1">
        <v>44111</v>
      </c>
      <c r="E938">
        <v>63324</v>
      </c>
    </row>
    <row r="939" spans="1:7" x14ac:dyDescent="0.25">
      <c r="A939">
        <v>9163</v>
      </c>
      <c r="B939" t="s">
        <v>239</v>
      </c>
      <c r="C939" s="1">
        <v>44112</v>
      </c>
      <c r="D939" s="1">
        <v>44433</v>
      </c>
      <c r="E939">
        <v>63551</v>
      </c>
    </row>
    <row r="940" spans="1:7" x14ac:dyDescent="0.25">
      <c r="A940">
        <v>9163</v>
      </c>
      <c r="B940" t="s">
        <v>239</v>
      </c>
      <c r="C940" s="1">
        <v>44434</v>
      </c>
      <c r="D940" s="1">
        <v>44826</v>
      </c>
      <c r="E940">
        <v>63591</v>
      </c>
      <c r="F940">
        <v>31473</v>
      </c>
      <c r="G940">
        <v>32118</v>
      </c>
    </row>
    <row r="941" spans="1:7" x14ac:dyDescent="0.25">
      <c r="A941">
        <v>9163</v>
      </c>
      <c r="B941" t="s">
        <v>239</v>
      </c>
      <c r="C941" s="1">
        <v>44827</v>
      </c>
      <c r="D941" s="1">
        <v>117974</v>
      </c>
      <c r="E941">
        <v>63508</v>
      </c>
      <c r="F941">
        <v>31438</v>
      </c>
      <c r="G941">
        <v>32070</v>
      </c>
    </row>
    <row r="942" spans="1:7" x14ac:dyDescent="0.25">
      <c r="A942">
        <v>9171</v>
      </c>
      <c r="B942" t="s">
        <v>240</v>
      </c>
      <c r="C942" s="1">
        <v>43831</v>
      </c>
      <c r="D942" s="1">
        <v>44111</v>
      </c>
      <c r="E942">
        <v>111210</v>
      </c>
    </row>
    <row r="943" spans="1:7" x14ac:dyDescent="0.25">
      <c r="A943">
        <v>9171</v>
      </c>
      <c r="B943" t="s">
        <v>240</v>
      </c>
      <c r="C943" s="1">
        <v>44112</v>
      </c>
      <c r="D943" s="1">
        <v>44433</v>
      </c>
      <c r="E943">
        <v>111516</v>
      </c>
    </row>
    <row r="944" spans="1:7" x14ac:dyDescent="0.25">
      <c r="A944">
        <v>9171</v>
      </c>
      <c r="B944" t="s">
        <v>240</v>
      </c>
      <c r="C944" s="1">
        <v>44434</v>
      </c>
      <c r="D944" s="1">
        <v>44826</v>
      </c>
      <c r="E944">
        <v>111654</v>
      </c>
      <c r="F944">
        <v>55249</v>
      </c>
      <c r="G944">
        <v>56405</v>
      </c>
    </row>
    <row r="945" spans="1:7" x14ac:dyDescent="0.25">
      <c r="A945">
        <v>9171</v>
      </c>
      <c r="B945" t="s">
        <v>240</v>
      </c>
      <c r="C945" s="1">
        <v>44827</v>
      </c>
      <c r="D945" s="1">
        <v>117974</v>
      </c>
      <c r="E945">
        <v>112116</v>
      </c>
      <c r="F945">
        <v>55429</v>
      </c>
      <c r="G945">
        <v>56687</v>
      </c>
    </row>
    <row r="946" spans="1:7" x14ac:dyDescent="0.25">
      <c r="A946">
        <v>9172</v>
      </c>
      <c r="B946" t="s">
        <v>241</v>
      </c>
      <c r="C946" s="1">
        <v>43831</v>
      </c>
      <c r="D946" s="1">
        <v>44111</v>
      </c>
      <c r="E946">
        <v>105722</v>
      </c>
    </row>
    <row r="947" spans="1:7" x14ac:dyDescent="0.25">
      <c r="A947">
        <v>9172</v>
      </c>
      <c r="B947" t="s">
        <v>241</v>
      </c>
      <c r="C947" s="1">
        <v>44112</v>
      </c>
      <c r="D947" s="1">
        <v>44433</v>
      </c>
      <c r="E947">
        <v>105929</v>
      </c>
    </row>
    <row r="948" spans="1:7" x14ac:dyDescent="0.25">
      <c r="A948">
        <v>9172</v>
      </c>
      <c r="B948" t="s">
        <v>241</v>
      </c>
      <c r="C948" s="1">
        <v>44434</v>
      </c>
      <c r="D948" s="1">
        <v>44826</v>
      </c>
      <c r="E948">
        <v>106327</v>
      </c>
      <c r="F948">
        <v>52320</v>
      </c>
      <c r="G948">
        <v>54007</v>
      </c>
    </row>
    <row r="949" spans="1:7" x14ac:dyDescent="0.25">
      <c r="A949">
        <v>9172</v>
      </c>
      <c r="B949" t="s">
        <v>241</v>
      </c>
      <c r="C949" s="1">
        <v>44827</v>
      </c>
      <c r="D949" s="1">
        <v>117974</v>
      </c>
      <c r="E949">
        <v>106389</v>
      </c>
      <c r="F949">
        <v>52425</v>
      </c>
      <c r="G949">
        <v>53964</v>
      </c>
    </row>
    <row r="950" spans="1:7" x14ac:dyDescent="0.25">
      <c r="A950">
        <v>9173</v>
      </c>
      <c r="B950" t="s">
        <v>242</v>
      </c>
      <c r="C950" s="1">
        <v>43831</v>
      </c>
      <c r="D950" s="1">
        <v>44111</v>
      </c>
      <c r="E950">
        <v>127227</v>
      </c>
    </row>
    <row r="951" spans="1:7" x14ac:dyDescent="0.25">
      <c r="A951">
        <v>9173</v>
      </c>
      <c r="B951" t="s">
        <v>242</v>
      </c>
      <c r="C951" s="1">
        <v>44112</v>
      </c>
      <c r="D951" s="1">
        <v>44433</v>
      </c>
      <c r="E951">
        <v>127917</v>
      </c>
    </row>
    <row r="952" spans="1:7" x14ac:dyDescent="0.25">
      <c r="A952">
        <v>9173</v>
      </c>
      <c r="B952" t="s">
        <v>242</v>
      </c>
      <c r="C952" s="1">
        <v>44434</v>
      </c>
      <c r="D952" s="1">
        <v>44826</v>
      </c>
      <c r="E952">
        <v>128212</v>
      </c>
      <c r="F952">
        <v>63310</v>
      </c>
      <c r="G952">
        <v>64902</v>
      </c>
    </row>
    <row r="953" spans="1:7" x14ac:dyDescent="0.25">
      <c r="A953">
        <v>9173</v>
      </c>
      <c r="B953" t="s">
        <v>242</v>
      </c>
      <c r="C953" s="1">
        <v>44827</v>
      </c>
      <c r="D953" s="1">
        <v>117974</v>
      </c>
      <c r="E953">
        <v>127919</v>
      </c>
      <c r="F953">
        <v>63112</v>
      </c>
      <c r="G953">
        <v>64807</v>
      </c>
    </row>
    <row r="954" spans="1:7" x14ac:dyDescent="0.25">
      <c r="A954">
        <v>9174</v>
      </c>
      <c r="B954" t="s">
        <v>243</v>
      </c>
      <c r="C954" s="1">
        <v>43831</v>
      </c>
      <c r="D954" s="1">
        <v>44111</v>
      </c>
      <c r="E954">
        <v>153884</v>
      </c>
    </row>
    <row r="955" spans="1:7" x14ac:dyDescent="0.25">
      <c r="A955">
        <v>9174</v>
      </c>
      <c r="B955" t="s">
        <v>243</v>
      </c>
      <c r="C955" s="1">
        <v>44112</v>
      </c>
      <c r="D955" s="1">
        <v>44433</v>
      </c>
      <c r="E955">
        <v>154899</v>
      </c>
    </row>
    <row r="956" spans="1:7" x14ac:dyDescent="0.25">
      <c r="A956">
        <v>9174</v>
      </c>
      <c r="B956" t="s">
        <v>243</v>
      </c>
      <c r="C956" s="1">
        <v>44434</v>
      </c>
      <c r="D956" s="1">
        <v>44826</v>
      </c>
      <c r="E956">
        <v>155117</v>
      </c>
      <c r="F956">
        <v>77459</v>
      </c>
      <c r="G956">
        <v>77658</v>
      </c>
    </row>
    <row r="957" spans="1:7" x14ac:dyDescent="0.25">
      <c r="A957">
        <v>9174</v>
      </c>
      <c r="B957" t="s">
        <v>243</v>
      </c>
      <c r="C957" s="1">
        <v>44827</v>
      </c>
      <c r="D957" s="1">
        <v>117974</v>
      </c>
      <c r="E957">
        <v>155449</v>
      </c>
      <c r="F957">
        <v>77545</v>
      </c>
      <c r="G957">
        <v>77904</v>
      </c>
    </row>
    <row r="958" spans="1:7" x14ac:dyDescent="0.25">
      <c r="A958">
        <v>9175</v>
      </c>
      <c r="B958" t="s">
        <v>244</v>
      </c>
      <c r="C958" s="1">
        <v>43831</v>
      </c>
      <c r="D958" s="1">
        <v>44111</v>
      </c>
      <c r="E958">
        <v>142142</v>
      </c>
    </row>
    <row r="959" spans="1:7" x14ac:dyDescent="0.25">
      <c r="A959">
        <v>9175</v>
      </c>
      <c r="B959" t="s">
        <v>244</v>
      </c>
      <c r="C959" s="1">
        <v>44112</v>
      </c>
      <c r="D959" s="1">
        <v>44433</v>
      </c>
      <c r="E959">
        <v>143649</v>
      </c>
    </row>
    <row r="960" spans="1:7" x14ac:dyDescent="0.25">
      <c r="A960">
        <v>9175</v>
      </c>
      <c r="B960" t="s">
        <v>244</v>
      </c>
      <c r="C960" s="1">
        <v>44434</v>
      </c>
      <c r="D960" s="1">
        <v>44826</v>
      </c>
      <c r="E960">
        <v>144091</v>
      </c>
      <c r="F960">
        <v>72048</v>
      </c>
      <c r="G960">
        <v>72043</v>
      </c>
    </row>
    <row r="961" spans="1:7" x14ac:dyDescent="0.25">
      <c r="A961">
        <v>9175</v>
      </c>
      <c r="B961" t="s">
        <v>244</v>
      </c>
      <c r="C961" s="1">
        <v>44827</v>
      </c>
      <c r="D961" s="1">
        <v>117974</v>
      </c>
      <c r="E961">
        <v>144562</v>
      </c>
      <c r="F961">
        <v>72179</v>
      </c>
      <c r="G961">
        <v>72383</v>
      </c>
    </row>
    <row r="962" spans="1:7" x14ac:dyDescent="0.25">
      <c r="A962">
        <v>9176</v>
      </c>
      <c r="B962" t="s">
        <v>245</v>
      </c>
      <c r="C962" s="1">
        <v>43831</v>
      </c>
      <c r="D962" s="1">
        <v>44111</v>
      </c>
      <c r="E962">
        <v>132341</v>
      </c>
    </row>
    <row r="963" spans="1:7" x14ac:dyDescent="0.25">
      <c r="A963">
        <v>9176</v>
      </c>
      <c r="B963" t="s">
        <v>245</v>
      </c>
      <c r="C963" s="1">
        <v>44112</v>
      </c>
      <c r="D963" s="1">
        <v>44433</v>
      </c>
      <c r="E963">
        <v>132881</v>
      </c>
    </row>
    <row r="964" spans="1:7" x14ac:dyDescent="0.25">
      <c r="A964">
        <v>9176</v>
      </c>
      <c r="B964" t="s">
        <v>245</v>
      </c>
      <c r="C964" s="1">
        <v>44434</v>
      </c>
      <c r="D964" s="1">
        <v>44826</v>
      </c>
      <c r="E964">
        <v>133169</v>
      </c>
      <c r="F964">
        <v>67473</v>
      </c>
      <c r="G964">
        <v>65696</v>
      </c>
    </row>
    <row r="965" spans="1:7" x14ac:dyDescent="0.25">
      <c r="A965">
        <v>9176</v>
      </c>
      <c r="B965" t="s">
        <v>245</v>
      </c>
      <c r="C965" s="1">
        <v>44827</v>
      </c>
      <c r="D965" s="1">
        <v>117974</v>
      </c>
      <c r="E965">
        <v>133634</v>
      </c>
      <c r="F965">
        <v>67599</v>
      </c>
      <c r="G965">
        <v>66035</v>
      </c>
    </row>
    <row r="966" spans="1:7" x14ac:dyDescent="0.25">
      <c r="A966">
        <v>9177</v>
      </c>
      <c r="B966" t="s">
        <v>246</v>
      </c>
      <c r="C966" s="1">
        <v>43831</v>
      </c>
      <c r="D966" s="1">
        <v>44111</v>
      </c>
      <c r="E966">
        <v>137660</v>
      </c>
    </row>
    <row r="967" spans="1:7" x14ac:dyDescent="0.25">
      <c r="A967">
        <v>9177</v>
      </c>
      <c r="B967" t="s">
        <v>246</v>
      </c>
      <c r="C967" s="1">
        <v>44112</v>
      </c>
      <c r="D967" s="1">
        <v>44433</v>
      </c>
      <c r="E967">
        <v>138182</v>
      </c>
    </row>
    <row r="968" spans="1:7" x14ac:dyDescent="0.25">
      <c r="A968">
        <v>9177</v>
      </c>
      <c r="B968" t="s">
        <v>246</v>
      </c>
      <c r="C968" s="1">
        <v>44434</v>
      </c>
      <c r="D968" s="1">
        <v>44826</v>
      </c>
      <c r="E968">
        <v>138891</v>
      </c>
      <c r="F968">
        <v>69944</v>
      </c>
      <c r="G968">
        <v>68947</v>
      </c>
    </row>
    <row r="969" spans="1:7" x14ac:dyDescent="0.25">
      <c r="A969">
        <v>9177</v>
      </c>
      <c r="B969" t="s">
        <v>246</v>
      </c>
      <c r="C969" s="1">
        <v>44827</v>
      </c>
      <c r="D969" s="1">
        <v>117974</v>
      </c>
      <c r="E969">
        <v>139622</v>
      </c>
      <c r="F969">
        <v>70223</v>
      </c>
      <c r="G969">
        <v>69399</v>
      </c>
    </row>
    <row r="970" spans="1:7" x14ac:dyDescent="0.25">
      <c r="A970">
        <v>9178</v>
      </c>
      <c r="B970" t="s">
        <v>247</v>
      </c>
      <c r="C970" s="1">
        <v>43831</v>
      </c>
      <c r="D970" s="1">
        <v>44111</v>
      </c>
      <c r="E970">
        <v>179116</v>
      </c>
    </row>
    <row r="971" spans="1:7" x14ac:dyDescent="0.25">
      <c r="A971">
        <v>9178</v>
      </c>
      <c r="B971" t="s">
        <v>247</v>
      </c>
      <c r="C971" s="1">
        <v>44112</v>
      </c>
      <c r="D971" s="1">
        <v>44433</v>
      </c>
      <c r="E971">
        <v>180007</v>
      </c>
    </row>
    <row r="972" spans="1:7" x14ac:dyDescent="0.25">
      <c r="A972">
        <v>9178</v>
      </c>
      <c r="B972" t="s">
        <v>247</v>
      </c>
      <c r="C972" s="1">
        <v>44434</v>
      </c>
      <c r="D972" s="1">
        <v>44826</v>
      </c>
      <c r="E972">
        <v>180313</v>
      </c>
      <c r="F972">
        <v>92157</v>
      </c>
      <c r="G972">
        <v>88156</v>
      </c>
    </row>
    <row r="973" spans="1:7" x14ac:dyDescent="0.25">
      <c r="A973">
        <v>9178</v>
      </c>
      <c r="B973" t="s">
        <v>247</v>
      </c>
      <c r="C973" s="1">
        <v>44827</v>
      </c>
      <c r="D973" s="1">
        <v>117974</v>
      </c>
      <c r="E973">
        <v>181144</v>
      </c>
      <c r="F973">
        <v>92520</v>
      </c>
      <c r="G973">
        <v>88624</v>
      </c>
    </row>
    <row r="974" spans="1:7" x14ac:dyDescent="0.25">
      <c r="A974">
        <v>9179</v>
      </c>
      <c r="B974" t="s">
        <v>248</v>
      </c>
      <c r="C974" s="1">
        <v>43831</v>
      </c>
      <c r="D974" s="1">
        <v>44111</v>
      </c>
      <c r="E974">
        <v>219320</v>
      </c>
    </row>
    <row r="975" spans="1:7" x14ac:dyDescent="0.25">
      <c r="A975">
        <v>9179</v>
      </c>
      <c r="B975" t="s">
        <v>248</v>
      </c>
      <c r="C975" s="1">
        <v>44112</v>
      </c>
      <c r="D975" s="1">
        <v>44433</v>
      </c>
      <c r="E975">
        <v>219311</v>
      </c>
    </row>
    <row r="976" spans="1:7" x14ac:dyDescent="0.25">
      <c r="A976">
        <v>9179</v>
      </c>
      <c r="B976" t="s">
        <v>248</v>
      </c>
      <c r="C976" s="1">
        <v>44434</v>
      </c>
      <c r="D976" s="1">
        <v>44826</v>
      </c>
      <c r="E976">
        <v>218740</v>
      </c>
      <c r="F976">
        <v>107436</v>
      </c>
      <c r="G976">
        <v>111304</v>
      </c>
    </row>
    <row r="977" spans="1:7" x14ac:dyDescent="0.25">
      <c r="A977">
        <v>9179</v>
      </c>
      <c r="B977" t="s">
        <v>248</v>
      </c>
      <c r="C977" s="1">
        <v>44827</v>
      </c>
      <c r="D977" s="1">
        <v>117974</v>
      </c>
      <c r="E977">
        <v>218579</v>
      </c>
      <c r="F977">
        <v>107330</v>
      </c>
      <c r="G977">
        <v>111249</v>
      </c>
    </row>
    <row r="978" spans="1:7" x14ac:dyDescent="0.25">
      <c r="A978">
        <v>9180</v>
      </c>
      <c r="B978" t="s">
        <v>249</v>
      </c>
      <c r="C978" s="1">
        <v>43831</v>
      </c>
      <c r="D978" s="1">
        <v>44111</v>
      </c>
      <c r="E978">
        <v>88467</v>
      </c>
    </row>
    <row r="979" spans="1:7" x14ac:dyDescent="0.25">
      <c r="A979">
        <v>9180</v>
      </c>
      <c r="B979" t="s">
        <v>249</v>
      </c>
      <c r="C979" s="1">
        <v>44112</v>
      </c>
      <c r="D979" s="1">
        <v>44433</v>
      </c>
      <c r="E979">
        <v>88424</v>
      </c>
    </row>
    <row r="980" spans="1:7" x14ac:dyDescent="0.25">
      <c r="A980">
        <v>9180</v>
      </c>
      <c r="B980" t="s">
        <v>249</v>
      </c>
      <c r="C980" s="1">
        <v>44434</v>
      </c>
      <c r="D980" s="1">
        <v>44826</v>
      </c>
      <c r="E980">
        <v>88279</v>
      </c>
      <c r="F980">
        <v>42776</v>
      </c>
      <c r="G980">
        <v>45503</v>
      </c>
    </row>
    <row r="981" spans="1:7" x14ac:dyDescent="0.25">
      <c r="A981">
        <v>9180</v>
      </c>
      <c r="B981" t="s">
        <v>249</v>
      </c>
      <c r="C981" s="1">
        <v>44827</v>
      </c>
      <c r="D981" s="1">
        <v>117974</v>
      </c>
      <c r="E981">
        <v>88232</v>
      </c>
      <c r="F981">
        <v>42733</v>
      </c>
      <c r="G981">
        <v>45499</v>
      </c>
    </row>
    <row r="982" spans="1:7" x14ac:dyDescent="0.25">
      <c r="A982">
        <v>9181</v>
      </c>
      <c r="B982" t="s">
        <v>250</v>
      </c>
      <c r="C982" s="1">
        <v>43831</v>
      </c>
      <c r="D982" s="1">
        <v>44111</v>
      </c>
      <c r="E982">
        <v>120071</v>
      </c>
    </row>
    <row r="983" spans="1:7" x14ac:dyDescent="0.25">
      <c r="A983">
        <v>9181</v>
      </c>
      <c r="B983" t="s">
        <v>250</v>
      </c>
      <c r="C983" s="1">
        <v>44112</v>
      </c>
      <c r="D983" s="1">
        <v>44433</v>
      </c>
      <c r="E983">
        <v>120302</v>
      </c>
    </row>
    <row r="984" spans="1:7" x14ac:dyDescent="0.25">
      <c r="A984">
        <v>9181</v>
      </c>
      <c r="B984" t="s">
        <v>250</v>
      </c>
      <c r="C984" s="1">
        <v>44434</v>
      </c>
      <c r="D984" s="1">
        <v>44826</v>
      </c>
      <c r="E984">
        <v>121019</v>
      </c>
      <c r="F984">
        <v>60383</v>
      </c>
      <c r="G984">
        <v>60636</v>
      </c>
    </row>
    <row r="985" spans="1:7" x14ac:dyDescent="0.25">
      <c r="A985">
        <v>9181</v>
      </c>
      <c r="B985" t="s">
        <v>250</v>
      </c>
      <c r="C985" s="1">
        <v>44827</v>
      </c>
      <c r="D985" s="1">
        <v>117974</v>
      </c>
      <c r="E985">
        <v>121466</v>
      </c>
      <c r="F985">
        <v>60572</v>
      </c>
      <c r="G985">
        <v>60894</v>
      </c>
    </row>
    <row r="986" spans="1:7" x14ac:dyDescent="0.25">
      <c r="A986">
        <v>9182</v>
      </c>
      <c r="B986" t="s">
        <v>251</v>
      </c>
      <c r="C986" s="1">
        <v>43831</v>
      </c>
      <c r="D986" s="1">
        <v>44111</v>
      </c>
      <c r="E986">
        <v>99726</v>
      </c>
    </row>
    <row r="987" spans="1:7" x14ac:dyDescent="0.25">
      <c r="A987">
        <v>9182</v>
      </c>
      <c r="B987" t="s">
        <v>251</v>
      </c>
      <c r="C987" s="1">
        <v>44112</v>
      </c>
      <c r="D987" s="1">
        <v>44433</v>
      </c>
      <c r="E987">
        <v>100010</v>
      </c>
    </row>
    <row r="988" spans="1:7" x14ac:dyDescent="0.25">
      <c r="A988">
        <v>9182</v>
      </c>
      <c r="B988" t="s">
        <v>251</v>
      </c>
      <c r="C988" s="1">
        <v>44434</v>
      </c>
      <c r="D988" s="1">
        <v>44826</v>
      </c>
      <c r="E988">
        <v>100183</v>
      </c>
      <c r="F988">
        <v>48994</v>
      </c>
      <c r="G988">
        <v>51189</v>
      </c>
    </row>
    <row r="989" spans="1:7" x14ac:dyDescent="0.25">
      <c r="A989">
        <v>9182</v>
      </c>
      <c r="B989" t="s">
        <v>251</v>
      </c>
      <c r="C989" s="1">
        <v>44827</v>
      </c>
      <c r="D989" s="1">
        <v>117974</v>
      </c>
      <c r="E989">
        <v>99978</v>
      </c>
      <c r="F989">
        <v>48892</v>
      </c>
      <c r="G989">
        <v>51086</v>
      </c>
    </row>
    <row r="990" spans="1:7" x14ac:dyDescent="0.25">
      <c r="A990">
        <v>9183</v>
      </c>
      <c r="B990" t="s">
        <v>252</v>
      </c>
      <c r="C990" s="1">
        <v>43831</v>
      </c>
      <c r="D990" s="1">
        <v>44111</v>
      </c>
      <c r="E990">
        <v>115250</v>
      </c>
    </row>
    <row r="991" spans="1:7" x14ac:dyDescent="0.25">
      <c r="A991">
        <v>9183</v>
      </c>
      <c r="B991" t="s">
        <v>252</v>
      </c>
      <c r="C991" s="1">
        <v>44112</v>
      </c>
      <c r="D991" s="1">
        <v>44433</v>
      </c>
      <c r="E991">
        <v>115872</v>
      </c>
    </row>
    <row r="992" spans="1:7" x14ac:dyDescent="0.25">
      <c r="A992">
        <v>9183</v>
      </c>
      <c r="B992" t="s">
        <v>252</v>
      </c>
      <c r="C992" s="1">
        <v>44434</v>
      </c>
      <c r="D992" s="1">
        <v>44826</v>
      </c>
      <c r="E992">
        <v>116483</v>
      </c>
      <c r="F992">
        <v>58854</v>
      </c>
      <c r="G992">
        <v>57629</v>
      </c>
    </row>
    <row r="993" spans="1:7" x14ac:dyDescent="0.25">
      <c r="A993">
        <v>9183</v>
      </c>
      <c r="B993" t="s">
        <v>252</v>
      </c>
      <c r="C993" s="1">
        <v>44827</v>
      </c>
      <c r="D993" s="1">
        <v>117974</v>
      </c>
      <c r="E993">
        <v>117606</v>
      </c>
      <c r="F993">
        <v>59484</v>
      </c>
      <c r="G993">
        <v>58122</v>
      </c>
    </row>
    <row r="994" spans="1:7" x14ac:dyDescent="0.25">
      <c r="A994">
        <v>9184</v>
      </c>
      <c r="B994" t="s">
        <v>253</v>
      </c>
      <c r="C994" s="1">
        <v>43831</v>
      </c>
      <c r="D994" s="1">
        <v>44111</v>
      </c>
      <c r="E994">
        <v>348871</v>
      </c>
    </row>
    <row r="995" spans="1:7" x14ac:dyDescent="0.25">
      <c r="A995">
        <v>9184</v>
      </c>
      <c r="B995" t="s">
        <v>253</v>
      </c>
      <c r="C995" s="1">
        <v>44112</v>
      </c>
      <c r="D995" s="1">
        <v>44433</v>
      </c>
      <c r="E995">
        <v>350473</v>
      </c>
    </row>
    <row r="996" spans="1:7" x14ac:dyDescent="0.25">
      <c r="A996">
        <v>9184</v>
      </c>
      <c r="B996" t="s">
        <v>253</v>
      </c>
      <c r="C996" s="1">
        <v>44434</v>
      </c>
      <c r="D996" s="1">
        <v>44826</v>
      </c>
      <c r="E996">
        <v>349685</v>
      </c>
      <c r="F996">
        <v>173797</v>
      </c>
      <c r="G996">
        <v>175888</v>
      </c>
    </row>
    <row r="997" spans="1:7" x14ac:dyDescent="0.25">
      <c r="A997">
        <v>9184</v>
      </c>
      <c r="B997" t="s">
        <v>253</v>
      </c>
      <c r="C997" s="1">
        <v>44827</v>
      </c>
      <c r="D997" s="1">
        <v>117974</v>
      </c>
      <c r="E997">
        <v>349837</v>
      </c>
      <c r="F997">
        <v>173610</v>
      </c>
      <c r="G997">
        <v>176227</v>
      </c>
    </row>
    <row r="998" spans="1:7" x14ac:dyDescent="0.25">
      <c r="A998">
        <v>9185</v>
      </c>
      <c r="B998" t="s">
        <v>254</v>
      </c>
      <c r="C998" s="1">
        <v>43831</v>
      </c>
      <c r="D998" s="1">
        <v>44111</v>
      </c>
      <c r="E998">
        <v>96680</v>
      </c>
    </row>
    <row r="999" spans="1:7" x14ac:dyDescent="0.25">
      <c r="A999">
        <v>9185</v>
      </c>
      <c r="B999" t="s">
        <v>254</v>
      </c>
      <c r="C999" s="1">
        <v>44112</v>
      </c>
      <c r="D999" s="1">
        <v>44433</v>
      </c>
      <c r="E999">
        <v>97303</v>
      </c>
    </row>
    <row r="1000" spans="1:7" x14ac:dyDescent="0.25">
      <c r="A1000">
        <v>9185</v>
      </c>
      <c r="B1000" t="s">
        <v>254</v>
      </c>
      <c r="C1000" s="1">
        <v>44434</v>
      </c>
      <c r="D1000" s="1">
        <v>44826</v>
      </c>
      <c r="E1000">
        <v>97730</v>
      </c>
      <c r="F1000">
        <v>49112</v>
      </c>
      <c r="G1000">
        <v>48618</v>
      </c>
    </row>
    <row r="1001" spans="1:7" x14ac:dyDescent="0.25">
      <c r="A1001">
        <v>9185</v>
      </c>
      <c r="B1001" t="s">
        <v>254</v>
      </c>
      <c r="C1001" s="1">
        <v>44827</v>
      </c>
      <c r="D1001" s="1">
        <v>117974</v>
      </c>
      <c r="E1001">
        <v>98503</v>
      </c>
      <c r="F1001">
        <v>49541</v>
      </c>
      <c r="G1001">
        <v>48962</v>
      </c>
    </row>
    <row r="1002" spans="1:7" x14ac:dyDescent="0.25">
      <c r="A1002">
        <v>9186</v>
      </c>
      <c r="B1002" t="s">
        <v>255</v>
      </c>
      <c r="C1002" s="1">
        <v>43831</v>
      </c>
      <c r="D1002" s="1">
        <v>44111</v>
      </c>
      <c r="E1002">
        <v>127151</v>
      </c>
    </row>
    <row r="1003" spans="1:7" x14ac:dyDescent="0.25">
      <c r="A1003">
        <v>9186</v>
      </c>
      <c r="B1003" t="s">
        <v>255</v>
      </c>
      <c r="C1003" s="1">
        <v>44112</v>
      </c>
      <c r="D1003" s="1">
        <v>44433</v>
      </c>
      <c r="E1003">
        <v>128227</v>
      </c>
    </row>
    <row r="1004" spans="1:7" x14ac:dyDescent="0.25">
      <c r="A1004">
        <v>9186</v>
      </c>
      <c r="B1004" t="s">
        <v>255</v>
      </c>
      <c r="C1004" s="1">
        <v>44434</v>
      </c>
      <c r="D1004" s="1">
        <v>44826</v>
      </c>
      <c r="E1004">
        <v>129128</v>
      </c>
      <c r="F1004">
        <v>65488</v>
      </c>
      <c r="G1004">
        <v>63640</v>
      </c>
    </row>
    <row r="1005" spans="1:7" x14ac:dyDescent="0.25">
      <c r="A1005">
        <v>9186</v>
      </c>
      <c r="B1005" t="s">
        <v>255</v>
      </c>
      <c r="C1005" s="1">
        <v>44827</v>
      </c>
      <c r="D1005" s="1">
        <v>117974</v>
      </c>
      <c r="E1005">
        <v>129772</v>
      </c>
      <c r="F1005">
        <v>65711</v>
      </c>
      <c r="G1005">
        <v>64061</v>
      </c>
    </row>
    <row r="1006" spans="1:7" x14ac:dyDescent="0.25">
      <c r="A1006">
        <v>9187</v>
      </c>
      <c r="B1006" t="s">
        <v>256</v>
      </c>
      <c r="C1006" s="1">
        <v>43831</v>
      </c>
      <c r="D1006" s="1">
        <v>44111</v>
      </c>
      <c r="E1006">
        <v>260983</v>
      </c>
    </row>
    <row r="1007" spans="1:7" x14ac:dyDescent="0.25">
      <c r="A1007">
        <v>9187</v>
      </c>
      <c r="B1007" t="s">
        <v>256</v>
      </c>
      <c r="C1007" s="1">
        <v>44112</v>
      </c>
      <c r="D1007" s="1">
        <v>44433</v>
      </c>
      <c r="E1007">
        <v>261330</v>
      </c>
    </row>
    <row r="1008" spans="1:7" x14ac:dyDescent="0.25">
      <c r="A1008">
        <v>9187</v>
      </c>
      <c r="B1008" t="s">
        <v>256</v>
      </c>
      <c r="C1008" s="1">
        <v>44434</v>
      </c>
      <c r="D1008" s="1">
        <v>44826</v>
      </c>
      <c r="E1008">
        <v>261721</v>
      </c>
      <c r="F1008">
        <v>129514</v>
      </c>
      <c r="G1008">
        <v>132207</v>
      </c>
    </row>
    <row r="1009" spans="1:7" x14ac:dyDescent="0.25">
      <c r="A1009">
        <v>9187</v>
      </c>
      <c r="B1009" t="s">
        <v>256</v>
      </c>
      <c r="C1009" s="1">
        <v>44827</v>
      </c>
      <c r="D1009" s="1">
        <v>117974</v>
      </c>
      <c r="E1009">
        <v>263367</v>
      </c>
      <c r="F1009">
        <v>130304</v>
      </c>
      <c r="G1009">
        <v>133063</v>
      </c>
    </row>
    <row r="1010" spans="1:7" x14ac:dyDescent="0.25">
      <c r="A1010">
        <v>9188</v>
      </c>
      <c r="B1010" t="s">
        <v>257</v>
      </c>
      <c r="C1010" s="1">
        <v>43831</v>
      </c>
      <c r="D1010" s="1">
        <v>44111</v>
      </c>
      <c r="E1010">
        <v>136092</v>
      </c>
    </row>
    <row r="1011" spans="1:7" x14ac:dyDescent="0.25">
      <c r="A1011">
        <v>9188</v>
      </c>
      <c r="B1011" t="s">
        <v>257</v>
      </c>
      <c r="C1011" s="1">
        <v>44112</v>
      </c>
      <c r="D1011" s="1">
        <v>44433</v>
      </c>
      <c r="E1011">
        <v>136667</v>
      </c>
    </row>
    <row r="1012" spans="1:7" x14ac:dyDescent="0.25">
      <c r="A1012">
        <v>9188</v>
      </c>
      <c r="B1012" t="s">
        <v>257</v>
      </c>
      <c r="C1012" s="1">
        <v>44434</v>
      </c>
      <c r="D1012" s="1">
        <v>44826</v>
      </c>
      <c r="E1012">
        <v>136610</v>
      </c>
      <c r="F1012">
        <v>66157</v>
      </c>
      <c r="G1012">
        <v>70453</v>
      </c>
    </row>
    <row r="1013" spans="1:7" x14ac:dyDescent="0.25">
      <c r="A1013">
        <v>9188</v>
      </c>
      <c r="B1013" t="s">
        <v>257</v>
      </c>
      <c r="C1013" s="1">
        <v>44827</v>
      </c>
      <c r="D1013" s="1">
        <v>117974</v>
      </c>
      <c r="E1013">
        <v>136747</v>
      </c>
      <c r="F1013">
        <v>66184</v>
      </c>
      <c r="G1013">
        <v>70563</v>
      </c>
    </row>
    <row r="1014" spans="1:7" x14ac:dyDescent="0.25">
      <c r="A1014">
        <v>9189</v>
      </c>
      <c r="B1014" t="s">
        <v>258</v>
      </c>
      <c r="C1014" s="1">
        <v>43831</v>
      </c>
      <c r="D1014" s="1">
        <v>44111</v>
      </c>
      <c r="E1014">
        <v>177089</v>
      </c>
    </row>
    <row r="1015" spans="1:7" x14ac:dyDescent="0.25">
      <c r="A1015">
        <v>9189</v>
      </c>
      <c r="B1015" t="s">
        <v>258</v>
      </c>
      <c r="C1015" s="1">
        <v>44112</v>
      </c>
      <c r="D1015" s="1">
        <v>44433</v>
      </c>
      <c r="E1015">
        <v>177319</v>
      </c>
    </row>
    <row r="1016" spans="1:7" x14ac:dyDescent="0.25">
      <c r="A1016">
        <v>9189</v>
      </c>
      <c r="B1016" t="s">
        <v>258</v>
      </c>
      <c r="C1016" s="1">
        <v>44434</v>
      </c>
      <c r="D1016" s="1">
        <v>44826</v>
      </c>
      <c r="E1016">
        <v>177485</v>
      </c>
      <c r="F1016">
        <v>87601</v>
      </c>
      <c r="G1016">
        <v>89884</v>
      </c>
    </row>
    <row r="1017" spans="1:7" x14ac:dyDescent="0.25">
      <c r="A1017">
        <v>9189</v>
      </c>
      <c r="B1017" t="s">
        <v>258</v>
      </c>
      <c r="C1017" s="1">
        <v>44827</v>
      </c>
      <c r="D1017" s="1">
        <v>117974</v>
      </c>
      <c r="E1017">
        <v>178447</v>
      </c>
      <c r="F1017">
        <v>88061</v>
      </c>
      <c r="G1017">
        <v>90386</v>
      </c>
    </row>
    <row r="1018" spans="1:7" x14ac:dyDescent="0.25">
      <c r="A1018">
        <v>9190</v>
      </c>
      <c r="B1018" t="s">
        <v>259</v>
      </c>
      <c r="C1018" s="1">
        <v>43831</v>
      </c>
      <c r="D1018" s="1">
        <v>44111</v>
      </c>
      <c r="E1018">
        <v>135348</v>
      </c>
    </row>
    <row r="1019" spans="1:7" x14ac:dyDescent="0.25">
      <c r="A1019">
        <v>9190</v>
      </c>
      <c r="B1019" t="s">
        <v>259</v>
      </c>
      <c r="C1019" s="1">
        <v>44112</v>
      </c>
      <c r="D1019" s="1">
        <v>44433</v>
      </c>
      <c r="E1019">
        <v>135478</v>
      </c>
    </row>
    <row r="1020" spans="1:7" x14ac:dyDescent="0.25">
      <c r="A1020">
        <v>9190</v>
      </c>
      <c r="B1020" t="s">
        <v>259</v>
      </c>
      <c r="C1020" s="1">
        <v>44434</v>
      </c>
      <c r="D1020" s="1">
        <v>44826</v>
      </c>
      <c r="E1020">
        <v>136134</v>
      </c>
      <c r="F1020">
        <v>67518</v>
      </c>
      <c r="G1020">
        <v>68616</v>
      </c>
    </row>
    <row r="1021" spans="1:7" x14ac:dyDescent="0.25">
      <c r="A1021">
        <v>9190</v>
      </c>
      <c r="B1021" t="s">
        <v>259</v>
      </c>
      <c r="C1021" s="1">
        <v>44827</v>
      </c>
      <c r="D1021" s="1">
        <v>117974</v>
      </c>
      <c r="E1021">
        <v>136642</v>
      </c>
      <c r="F1021">
        <v>67701</v>
      </c>
      <c r="G1021">
        <v>68941</v>
      </c>
    </row>
    <row r="1022" spans="1:7" x14ac:dyDescent="0.25">
      <c r="A1022">
        <v>9261</v>
      </c>
      <c r="B1022" t="s">
        <v>260</v>
      </c>
      <c r="C1022" s="1">
        <v>43831</v>
      </c>
      <c r="D1022" s="1">
        <v>44111</v>
      </c>
      <c r="E1022">
        <v>72404</v>
      </c>
    </row>
    <row r="1023" spans="1:7" x14ac:dyDescent="0.25">
      <c r="A1023">
        <v>9261</v>
      </c>
      <c r="B1023" t="s">
        <v>260</v>
      </c>
      <c r="C1023" s="1">
        <v>44112</v>
      </c>
      <c r="D1023" s="1">
        <v>44433</v>
      </c>
      <c r="E1023">
        <v>73411</v>
      </c>
    </row>
    <row r="1024" spans="1:7" x14ac:dyDescent="0.25">
      <c r="A1024">
        <v>9261</v>
      </c>
      <c r="B1024" t="s">
        <v>260</v>
      </c>
      <c r="C1024" s="1">
        <v>44434</v>
      </c>
      <c r="D1024" s="1">
        <v>44826</v>
      </c>
      <c r="E1024">
        <v>73065</v>
      </c>
      <c r="F1024">
        <v>35671</v>
      </c>
      <c r="G1024">
        <v>37394</v>
      </c>
    </row>
    <row r="1025" spans="1:7" x14ac:dyDescent="0.25">
      <c r="A1025">
        <v>9261</v>
      </c>
      <c r="B1025" t="s">
        <v>260</v>
      </c>
      <c r="C1025" s="1">
        <v>44827</v>
      </c>
      <c r="D1025" s="1">
        <v>117974</v>
      </c>
      <c r="E1025">
        <v>73150</v>
      </c>
      <c r="F1025">
        <v>35715</v>
      </c>
      <c r="G1025">
        <v>37435</v>
      </c>
    </row>
    <row r="1026" spans="1:7" x14ac:dyDescent="0.25">
      <c r="A1026">
        <v>9262</v>
      </c>
      <c r="B1026" t="s">
        <v>261</v>
      </c>
      <c r="C1026" s="1">
        <v>43831</v>
      </c>
      <c r="D1026" s="1">
        <v>44111</v>
      </c>
      <c r="E1026">
        <v>52469</v>
      </c>
    </row>
    <row r="1027" spans="1:7" x14ac:dyDescent="0.25">
      <c r="A1027">
        <v>9262</v>
      </c>
      <c r="B1027" t="s">
        <v>261</v>
      </c>
      <c r="C1027" s="1">
        <v>44112</v>
      </c>
      <c r="D1027" s="1">
        <v>44433</v>
      </c>
      <c r="E1027">
        <v>52803</v>
      </c>
    </row>
    <row r="1028" spans="1:7" x14ac:dyDescent="0.25">
      <c r="A1028">
        <v>9262</v>
      </c>
      <c r="B1028" t="s">
        <v>261</v>
      </c>
      <c r="C1028" s="1">
        <v>44434</v>
      </c>
      <c r="D1028" s="1">
        <v>44826</v>
      </c>
      <c r="E1028">
        <v>52415</v>
      </c>
      <c r="F1028">
        <v>25486</v>
      </c>
      <c r="G1028">
        <v>26929</v>
      </c>
    </row>
    <row r="1029" spans="1:7" x14ac:dyDescent="0.25">
      <c r="A1029">
        <v>9262</v>
      </c>
      <c r="B1029" t="s">
        <v>261</v>
      </c>
      <c r="C1029" s="1">
        <v>44827</v>
      </c>
      <c r="D1029" s="1">
        <v>117974</v>
      </c>
      <c r="E1029">
        <v>53093</v>
      </c>
      <c r="F1029">
        <v>25869</v>
      </c>
      <c r="G1029">
        <v>27224</v>
      </c>
    </row>
    <row r="1030" spans="1:7" x14ac:dyDescent="0.25">
      <c r="A1030">
        <v>9263</v>
      </c>
      <c r="B1030" t="s">
        <v>262</v>
      </c>
      <c r="C1030" s="1">
        <v>43831</v>
      </c>
      <c r="D1030" s="1">
        <v>44111</v>
      </c>
      <c r="E1030">
        <v>47794</v>
      </c>
    </row>
    <row r="1031" spans="1:7" x14ac:dyDescent="0.25">
      <c r="A1031">
        <v>9263</v>
      </c>
      <c r="B1031" t="s">
        <v>262</v>
      </c>
      <c r="C1031" s="1">
        <v>44112</v>
      </c>
      <c r="D1031" s="1">
        <v>44433</v>
      </c>
      <c r="E1031">
        <v>47791</v>
      </c>
    </row>
    <row r="1032" spans="1:7" x14ac:dyDescent="0.25">
      <c r="A1032">
        <v>9263</v>
      </c>
      <c r="B1032" t="s">
        <v>262</v>
      </c>
      <c r="C1032" s="1">
        <v>44434</v>
      </c>
      <c r="D1032" s="1">
        <v>44826</v>
      </c>
      <c r="E1032">
        <v>47612</v>
      </c>
      <c r="F1032">
        <v>23960</v>
      </c>
      <c r="G1032">
        <v>23652</v>
      </c>
    </row>
    <row r="1033" spans="1:7" x14ac:dyDescent="0.25">
      <c r="A1033">
        <v>9263</v>
      </c>
      <c r="B1033" t="s">
        <v>262</v>
      </c>
      <c r="C1033" s="1">
        <v>44827</v>
      </c>
      <c r="D1033" s="1">
        <v>117974</v>
      </c>
      <c r="E1033">
        <v>47854</v>
      </c>
      <c r="F1033">
        <v>24084</v>
      </c>
      <c r="G1033">
        <v>23770</v>
      </c>
    </row>
    <row r="1034" spans="1:7" x14ac:dyDescent="0.25">
      <c r="A1034">
        <v>9271</v>
      </c>
      <c r="B1034" t="s">
        <v>263</v>
      </c>
      <c r="C1034" s="1">
        <v>43831</v>
      </c>
      <c r="D1034" s="1">
        <v>44111</v>
      </c>
      <c r="E1034">
        <v>119326</v>
      </c>
    </row>
    <row r="1035" spans="1:7" x14ac:dyDescent="0.25">
      <c r="A1035">
        <v>9271</v>
      </c>
      <c r="B1035" t="s">
        <v>263</v>
      </c>
      <c r="C1035" s="1">
        <v>44112</v>
      </c>
      <c r="D1035" s="1">
        <v>44433</v>
      </c>
      <c r="E1035">
        <v>119478</v>
      </c>
    </row>
    <row r="1036" spans="1:7" x14ac:dyDescent="0.25">
      <c r="A1036">
        <v>9271</v>
      </c>
      <c r="B1036" t="s">
        <v>263</v>
      </c>
      <c r="C1036" s="1">
        <v>44434</v>
      </c>
      <c r="D1036" s="1">
        <v>44826</v>
      </c>
      <c r="E1036">
        <v>119479</v>
      </c>
      <c r="F1036">
        <v>59782</v>
      </c>
      <c r="G1036">
        <v>59697</v>
      </c>
    </row>
    <row r="1037" spans="1:7" x14ac:dyDescent="0.25">
      <c r="A1037">
        <v>9271</v>
      </c>
      <c r="B1037" t="s">
        <v>263</v>
      </c>
      <c r="C1037" s="1">
        <v>44827</v>
      </c>
      <c r="D1037" s="1">
        <v>117974</v>
      </c>
      <c r="E1037">
        <v>120521</v>
      </c>
      <c r="F1037">
        <v>60544</v>
      </c>
      <c r="G1037">
        <v>59977</v>
      </c>
    </row>
    <row r="1038" spans="1:7" x14ac:dyDescent="0.25">
      <c r="A1038">
        <v>9272</v>
      </c>
      <c r="B1038" t="s">
        <v>264</v>
      </c>
      <c r="C1038" s="1">
        <v>43831</v>
      </c>
      <c r="D1038" s="1">
        <v>44111</v>
      </c>
      <c r="E1038">
        <v>78355</v>
      </c>
    </row>
    <row r="1039" spans="1:7" x14ac:dyDescent="0.25">
      <c r="A1039">
        <v>9272</v>
      </c>
      <c r="B1039" t="s">
        <v>264</v>
      </c>
      <c r="C1039" s="1">
        <v>44112</v>
      </c>
      <c r="D1039" s="1">
        <v>44433</v>
      </c>
      <c r="E1039">
        <v>78362</v>
      </c>
    </row>
    <row r="1040" spans="1:7" x14ac:dyDescent="0.25">
      <c r="A1040">
        <v>9272</v>
      </c>
      <c r="B1040" t="s">
        <v>264</v>
      </c>
      <c r="C1040" s="1">
        <v>44434</v>
      </c>
      <c r="D1040" s="1">
        <v>44826</v>
      </c>
      <c r="E1040">
        <v>78355</v>
      </c>
      <c r="F1040">
        <v>39075</v>
      </c>
      <c r="G1040">
        <v>39280</v>
      </c>
    </row>
    <row r="1041" spans="1:7" x14ac:dyDescent="0.25">
      <c r="A1041">
        <v>9272</v>
      </c>
      <c r="B1041" t="s">
        <v>264</v>
      </c>
      <c r="C1041" s="1">
        <v>44827</v>
      </c>
      <c r="D1041" s="1">
        <v>117974</v>
      </c>
      <c r="E1041">
        <v>78632</v>
      </c>
      <c r="F1041">
        <v>39190</v>
      </c>
      <c r="G1041">
        <v>39442</v>
      </c>
    </row>
    <row r="1042" spans="1:7" x14ac:dyDescent="0.25">
      <c r="A1042">
        <v>9273</v>
      </c>
      <c r="B1042" t="s">
        <v>265</v>
      </c>
      <c r="C1042" s="1">
        <v>43831</v>
      </c>
      <c r="D1042" s="1">
        <v>44111</v>
      </c>
      <c r="E1042">
        <v>122258</v>
      </c>
    </row>
    <row r="1043" spans="1:7" x14ac:dyDescent="0.25">
      <c r="A1043">
        <v>9273</v>
      </c>
      <c r="B1043" t="s">
        <v>265</v>
      </c>
      <c r="C1043" s="1">
        <v>44112</v>
      </c>
      <c r="D1043" s="1">
        <v>44433</v>
      </c>
      <c r="E1043">
        <v>123058</v>
      </c>
    </row>
    <row r="1044" spans="1:7" x14ac:dyDescent="0.25">
      <c r="A1044">
        <v>9273</v>
      </c>
      <c r="B1044" t="s">
        <v>265</v>
      </c>
      <c r="C1044" s="1">
        <v>44434</v>
      </c>
      <c r="D1044" s="1">
        <v>44826</v>
      </c>
      <c r="E1044">
        <v>123390</v>
      </c>
      <c r="F1044">
        <v>62439</v>
      </c>
      <c r="G1044">
        <v>60951</v>
      </c>
    </row>
    <row r="1045" spans="1:7" x14ac:dyDescent="0.25">
      <c r="A1045">
        <v>9273</v>
      </c>
      <c r="B1045" t="s">
        <v>265</v>
      </c>
      <c r="C1045" s="1">
        <v>44827</v>
      </c>
      <c r="D1045" s="1">
        <v>117974</v>
      </c>
      <c r="E1045">
        <v>123899</v>
      </c>
      <c r="F1045">
        <v>62610</v>
      </c>
      <c r="G1045">
        <v>61289</v>
      </c>
    </row>
    <row r="1046" spans="1:7" x14ac:dyDescent="0.25">
      <c r="A1046">
        <v>9274</v>
      </c>
      <c r="B1046" t="s">
        <v>266</v>
      </c>
      <c r="C1046" s="1">
        <v>43831</v>
      </c>
      <c r="D1046" s="1">
        <v>44111</v>
      </c>
      <c r="E1046">
        <v>158698</v>
      </c>
    </row>
    <row r="1047" spans="1:7" x14ac:dyDescent="0.25">
      <c r="A1047">
        <v>9274</v>
      </c>
      <c r="B1047" t="s">
        <v>266</v>
      </c>
      <c r="C1047" s="1">
        <v>44112</v>
      </c>
      <c r="D1047" s="1">
        <v>44433</v>
      </c>
      <c r="E1047">
        <v>159895</v>
      </c>
    </row>
    <row r="1048" spans="1:7" x14ac:dyDescent="0.25">
      <c r="A1048">
        <v>9274</v>
      </c>
      <c r="B1048" t="s">
        <v>266</v>
      </c>
      <c r="C1048" s="1">
        <v>44434</v>
      </c>
      <c r="D1048" s="1">
        <v>44826</v>
      </c>
      <c r="E1048">
        <v>161191</v>
      </c>
      <c r="F1048">
        <v>81519</v>
      </c>
      <c r="G1048">
        <v>79672</v>
      </c>
    </row>
    <row r="1049" spans="1:7" x14ac:dyDescent="0.25">
      <c r="A1049">
        <v>9274</v>
      </c>
      <c r="B1049" t="s">
        <v>266</v>
      </c>
      <c r="C1049" s="1">
        <v>44827</v>
      </c>
      <c r="D1049" s="1">
        <v>117974</v>
      </c>
      <c r="E1049">
        <v>162331</v>
      </c>
      <c r="F1049">
        <v>81932</v>
      </c>
      <c r="G1049">
        <v>80399</v>
      </c>
    </row>
    <row r="1050" spans="1:7" x14ac:dyDescent="0.25">
      <c r="A1050">
        <v>9275</v>
      </c>
      <c r="B1050" t="s">
        <v>267</v>
      </c>
      <c r="C1050" s="1">
        <v>43831</v>
      </c>
      <c r="D1050" s="1">
        <v>44111</v>
      </c>
      <c r="E1050">
        <v>192043</v>
      </c>
    </row>
    <row r="1051" spans="1:7" x14ac:dyDescent="0.25">
      <c r="A1051">
        <v>9275</v>
      </c>
      <c r="B1051" t="s">
        <v>267</v>
      </c>
      <c r="C1051" s="1">
        <v>44112</v>
      </c>
      <c r="D1051" s="1">
        <v>44433</v>
      </c>
      <c r="E1051">
        <v>192656</v>
      </c>
    </row>
    <row r="1052" spans="1:7" x14ac:dyDescent="0.25">
      <c r="A1052">
        <v>9275</v>
      </c>
      <c r="B1052" t="s">
        <v>267</v>
      </c>
      <c r="C1052" s="1">
        <v>44434</v>
      </c>
      <c r="D1052" s="1">
        <v>44826</v>
      </c>
      <c r="E1052">
        <v>193454</v>
      </c>
      <c r="F1052">
        <v>96000</v>
      </c>
      <c r="G1052">
        <v>97454</v>
      </c>
    </row>
    <row r="1053" spans="1:7" x14ac:dyDescent="0.25">
      <c r="A1053">
        <v>9275</v>
      </c>
      <c r="B1053" t="s">
        <v>267</v>
      </c>
      <c r="C1053" s="1">
        <v>44827</v>
      </c>
      <c r="D1053" s="1">
        <v>117974</v>
      </c>
      <c r="E1053">
        <v>194090</v>
      </c>
      <c r="F1053">
        <v>96442</v>
      </c>
      <c r="G1053">
        <v>97648</v>
      </c>
    </row>
    <row r="1054" spans="1:7" x14ac:dyDescent="0.25">
      <c r="A1054">
        <v>9276</v>
      </c>
      <c r="B1054" t="s">
        <v>268</v>
      </c>
      <c r="C1054" s="1">
        <v>43831</v>
      </c>
      <c r="D1054" s="1">
        <v>44111</v>
      </c>
      <c r="E1054">
        <v>77656</v>
      </c>
    </row>
    <row r="1055" spans="1:7" x14ac:dyDescent="0.25">
      <c r="A1055">
        <v>9276</v>
      </c>
      <c r="B1055" t="s">
        <v>268</v>
      </c>
      <c r="C1055" s="1">
        <v>44112</v>
      </c>
      <c r="D1055" s="1">
        <v>44433</v>
      </c>
      <c r="E1055">
        <v>77410</v>
      </c>
    </row>
    <row r="1056" spans="1:7" x14ac:dyDescent="0.25">
      <c r="A1056">
        <v>9276</v>
      </c>
      <c r="B1056" t="s">
        <v>268</v>
      </c>
      <c r="C1056" s="1">
        <v>44434</v>
      </c>
      <c r="D1056" s="1">
        <v>44826</v>
      </c>
      <c r="E1056">
        <v>77313</v>
      </c>
      <c r="F1056">
        <v>38543</v>
      </c>
      <c r="G1056">
        <v>38770</v>
      </c>
    </row>
    <row r="1057" spans="1:7" x14ac:dyDescent="0.25">
      <c r="A1057">
        <v>9276</v>
      </c>
      <c r="B1057" t="s">
        <v>268</v>
      </c>
      <c r="C1057" s="1">
        <v>44827</v>
      </c>
      <c r="D1057" s="1">
        <v>117974</v>
      </c>
      <c r="E1057">
        <v>77176</v>
      </c>
      <c r="F1057">
        <v>38539</v>
      </c>
      <c r="G1057">
        <v>38637</v>
      </c>
    </row>
    <row r="1058" spans="1:7" x14ac:dyDescent="0.25">
      <c r="A1058">
        <v>9277</v>
      </c>
      <c r="B1058" t="s">
        <v>269</v>
      </c>
      <c r="C1058" s="1">
        <v>43831</v>
      </c>
      <c r="D1058" s="1">
        <v>44111</v>
      </c>
      <c r="E1058">
        <v>120659</v>
      </c>
    </row>
    <row r="1059" spans="1:7" x14ac:dyDescent="0.25">
      <c r="A1059">
        <v>9277</v>
      </c>
      <c r="B1059" t="s">
        <v>269</v>
      </c>
      <c r="C1059" s="1">
        <v>44112</v>
      </c>
      <c r="D1059" s="1">
        <v>44433</v>
      </c>
      <c r="E1059">
        <v>121502</v>
      </c>
    </row>
    <row r="1060" spans="1:7" x14ac:dyDescent="0.25">
      <c r="A1060">
        <v>9277</v>
      </c>
      <c r="B1060" t="s">
        <v>269</v>
      </c>
      <c r="C1060" s="1">
        <v>44434</v>
      </c>
      <c r="D1060" s="1">
        <v>44826</v>
      </c>
      <c r="E1060">
        <v>121800</v>
      </c>
      <c r="F1060">
        <v>61011</v>
      </c>
      <c r="G1060">
        <v>60789</v>
      </c>
    </row>
    <row r="1061" spans="1:7" x14ac:dyDescent="0.25">
      <c r="A1061">
        <v>9277</v>
      </c>
      <c r="B1061" t="s">
        <v>269</v>
      </c>
      <c r="C1061" s="1">
        <v>44827</v>
      </c>
      <c r="D1061" s="1">
        <v>117974</v>
      </c>
      <c r="E1061">
        <v>122252</v>
      </c>
      <c r="F1061">
        <v>61352</v>
      </c>
      <c r="G1061">
        <v>60900</v>
      </c>
    </row>
    <row r="1062" spans="1:7" x14ac:dyDescent="0.25">
      <c r="A1062">
        <v>9278</v>
      </c>
      <c r="B1062" t="s">
        <v>270</v>
      </c>
      <c r="C1062" s="1">
        <v>43831</v>
      </c>
      <c r="D1062" s="1">
        <v>44111</v>
      </c>
      <c r="E1062">
        <v>100649</v>
      </c>
    </row>
    <row r="1063" spans="1:7" x14ac:dyDescent="0.25">
      <c r="A1063">
        <v>9278</v>
      </c>
      <c r="B1063" t="s">
        <v>270</v>
      </c>
      <c r="C1063" s="1">
        <v>44112</v>
      </c>
      <c r="D1063" s="1">
        <v>44433</v>
      </c>
      <c r="E1063">
        <v>101120</v>
      </c>
    </row>
    <row r="1064" spans="1:7" x14ac:dyDescent="0.25">
      <c r="A1064">
        <v>9278</v>
      </c>
      <c r="B1064" t="s">
        <v>270</v>
      </c>
      <c r="C1064" s="1">
        <v>44434</v>
      </c>
      <c r="D1064" s="1">
        <v>44826</v>
      </c>
      <c r="E1064">
        <v>101745</v>
      </c>
      <c r="F1064">
        <v>51034</v>
      </c>
      <c r="G1064">
        <v>50711</v>
      </c>
    </row>
    <row r="1065" spans="1:7" x14ac:dyDescent="0.25">
      <c r="A1065">
        <v>9278</v>
      </c>
      <c r="B1065" t="s">
        <v>270</v>
      </c>
      <c r="C1065" s="1">
        <v>44827</v>
      </c>
      <c r="D1065" s="1">
        <v>117974</v>
      </c>
      <c r="E1065">
        <v>102398</v>
      </c>
      <c r="F1065">
        <v>51417</v>
      </c>
      <c r="G1065">
        <v>50981</v>
      </c>
    </row>
    <row r="1066" spans="1:7" x14ac:dyDescent="0.25">
      <c r="A1066">
        <v>9279</v>
      </c>
      <c r="B1066" t="s">
        <v>271</v>
      </c>
      <c r="C1066" s="1">
        <v>43831</v>
      </c>
      <c r="D1066" s="1">
        <v>44111</v>
      </c>
      <c r="E1066">
        <v>96217</v>
      </c>
    </row>
    <row r="1067" spans="1:7" x14ac:dyDescent="0.25">
      <c r="A1067">
        <v>9279</v>
      </c>
      <c r="B1067" t="s">
        <v>271</v>
      </c>
      <c r="C1067" s="1">
        <v>44112</v>
      </c>
      <c r="D1067" s="1">
        <v>44433</v>
      </c>
      <c r="E1067">
        <v>96683</v>
      </c>
    </row>
    <row r="1068" spans="1:7" x14ac:dyDescent="0.25">
      <c r="A1068">
        <v>9279</v>
      </c>
      <c r="B1068" t="s">
        <v>271</v>
      </c>
      <c r="C1068" s="1">
        <v>44434</v>
      </c>
      <c r="D1068" s="1">
        <v>44826</v>
      </c>
      <c r="E1068">
        <v>97244</v>
      </c>
      <c r="F1068">
        <v>49742</v>
      </c>
      <c r="G1068">
        <v>47502</v>
      </c>
    </row>
    <row r="1069" spans="1:7" x14ac:dyDescent="0.25">
      <c r="A1069">
        <v>9279</v>
      </c>
      <c r="B1069" t="s">
        <v>271</v>
      </c>
      <c r="C1069" s="1">
        <v>44827</v>
      </c>
      <c r="D1069" s="1">
        <v>117974</v>
      </c>
      <c r="E1069">
        <v>98045</v>
      </c>
      <c r="F1069">
        <v>50219</v>
      </c>
      <c r="G1069">
        <v>47826</v>
      </c>
    </row>
    <row r="1070" spans="1:7" x14ac:dyDescent="0.25">
      <c r="A1070">
        <v>9361</v>
      </c>
      <c r="B1070" t="s">
        <v>272</v>
      </c>
      <c r="C1070" s="1">
        <v>43831</v>
      </c>
      <c r="D1070" s="1">
        <v>44111</v>
      </c>
      <c r="E1070">
        <v>41970</v>
      </c>
    </row>
    <row r="1071" spans="1:7" x14ac:dyDescent="0.25">
      <c r="A1071">
        <v>9361</v>
      </c>
      <c r="B1071" t="s">
        <v>272</v>
      </c>
      <c r="C1071" s="1">
        <v>44112</v>
      </c>
      <c r="D1071" s="1">
        <v>44433</v>
      </c>
      <c r="E1071">
        <v>42207</v>
      </c>
    </row>
    <row r="1072" spans="1:7" x14ac:dyDescent="0.25">
      <c r="A1072">
        <v>9361</v>
      </c>
      <c r="B1072" t="s">
        <v>272</v>
      </c>
      <c r="C1072" s="1">
        <v>44434</v>
      </c>
      <c r="D1072" s="1">
        <v>44826</v>
      </c>
      <c r="E1072">
        <v>42052</v>
      </c>
      <c r="F1072">
        <v>20757</v>
      </c>
      <c r="G1072">
        <v>21295</v>
      </c>
    </row>
    <row r="1073" spans="1:7" x14ac:dyDescent="0.25">
      <c r="A1073">
        <v>9361</v>
      </c>
      <c r="B1073" t="s">
        <v>272</v>
      </c>
      <c r="C1073" s="1">
        <v>44827</v>
      </c>
      <c r="D1073" s="1">
        <v>117974</v>
      </c>
      <c r="E1073">
        <v>41994</v>
      </c>
      <c r="F1073">
        <v>20725</v>
      </c>
      <c r="G1073">
        <v>21269</v>
      </c>
    </row>
    <row r="1074" spans="1:7" x14ac:dyDescent="0.25">
      <c r="A1074">
        <v>9362</v>
      </c>
      <c r="B1074" t="s">
        <v>273</v>
      </c>
      <c r="C1074" s="1">
        <v>43831</v>
      </c>
      <c r="D1074" s="1">
        <v>44111</v>
      </c>
      <c r="E1074">
        <v>152610</v>
      </c>
    </row>
    <row r="1075" spans="1:7" x14ac:dyDescent="0.25">
      <c r="A1075">
        <v>9362</v>
      </c>
      <c r="B1075" t="s">
        <v>273</v>
      </c>
      <c r="C1075" s="1">
        <v>44112</v>
      </c>
      <c r="D1075" s="1">
        <v>44433</v>
      </c>
      <c r="E1075">
        <v>153094</v>
      </c>
    </row>
    <row r="1076" spans="1:7" x14ac:dyDescent="0.25">
      <c r="A1076">
        <v>9362</v>
      </c>
      <c r="B1076" t="s">
        <v>273</v>
      </c>
      <c r="C1076" s="1">
        <v>44434</v>
      </c>
      <c r="D1076" s="1">
        <v>44826</v>
      </c>
      <c r="E1076">
        <v>152270</v>
      </c>
      <c r="F1076">
        <v>74011</v>
      </c>
      <c r="G1076">
        <v>78259</v>
      </c>
    </row>
    <row r="1077" spans="1:7" x14ac:dyDescent="0.25">
      <c r="A1077">
        <v>9362</v>
      </c>
      <c r="B1077" t="s">
        <v>273</v>
      </c>
      <c r="C1077" s="1">
        <v>44827</v>
      </c>
      <c r="D1077" s="1">
        <v>117974</v>
      </c>
      <c r="E1077">
        <v>153542</v>
      </c>
      <c r="F1077">
        <v>74784</v>
      </c>
      <c r="G1077">
        <v>78758</v>
      </c>
    </row>
    <row r="1078" spans="1:7" x14ac:dyDescent="0.25">
      <c r="A1078">
        <v>9363</v>
      </c>
      <c r="B1078" t="s">
        <v>274</v>
      </c>
      <c r="C1078" s="1">
        <v>43831</v>
      </c>
      <c r="D1078" s="1">
        <v>44111</v>
      </c>
      <c r="E1078">
        <v>42520</v>
      </c>
    </row>
    <row r="1079" spans="1:7" x14ac:dyDescent="0.25">
      <c r="A1079">
        <v>9363</v>
      </c>
      <c r="B1079" t="s">
        <v>274</v>
      </c>
      <c r="C1079" s="1">
        <v>44112</v>
      </c>
      <c r="D1079" s="1">
        <v>44433</v>
      </c>
      <c r="E1079">
        <v>42743</v>
      </c>
    </row>
    <row r="1080" spans="1:7" x14ac:dyDescent="0.25">
      <c r="A1080">
        <v>9363</v>
      </c>
      <c r="B1080" t="s">
        <v>274</v>
      </c>
      <c r="C1080" s="1">
        <v>44434</v>
      </c>
      <c r="D1080" s="1">
        <v>44826</v>
      </c>
      <c r="E1080">
        <v>42535</v>
      </c>
      <c r="F1080">
        <v>20584</v>
      </c>
      <c r="G1080">
        <v>21951</v>
      </c>
    </row>
    <row r="1081" spans="1:7" x14ac:dyDescent="0.25">
      <c r="A1081">
        <v>9363</v>
      </c>
      <c r="B1081" t="s">
        <v>274</v>
      </c>
      <c r="C1081" s="1">
        <v>44827</v>
      </c>
      <c r="D1081" s="1">
        <v>117974</v>
      </c>
      <c r="E1081">
        <v>42472</v>
      </c>
      <c r="F1081">
        <v>20556</v>
      </c>
      <c r="G1081">
        <v>21916</v>
      </c>
    </row>
    <row r="1082" spans="1:7" x14ac:dyDescent="0.25">
      <c r="A1082">
        <v>9371</v>
      </c>
      <c r="B1082" t="s">
        <v>275</v>
      </c>
      <c r="C1082" s="1">
        <v>43831</v>
      </c>
      <c r="D1082" s="1">
        <v>44111</v>
      </c>
      <c r="E1082">
        <v>103109</v>
      </c>
    </row>
    <row r="1083" spans="1:7" x14ac:dyDescent="0.25">
      <c r="A1083">
        <v>9371</v>
      </c>
      <c r="B1083" t="s">
        <v>275</v>
      </c>
      <c r="C1083" s="1">
        <v>44112</v>
      </c>
      <c r="D1083" s="1">
        <v>44433</v>
      </c>
      <c r="E1083">
        <v>103049</v>
      </c>
    </row>
    <row r="1084" spans="1:7" x14ac:dyDescent="0.25">
      <c r="A1084">
        <v>9371</v>
      </c>
      <c r="B1084" t="s">
        <v>275</v>
      </c>
      <c r="C1084" s="1">
        <v>44434</v>
      </c>
      <c r="D1084" s="1">
        <v>44826</v>
      </c>
      <c r="E1084">
        <v>102998</v>
      </c>
      <c r="F1084">
        <v>51640</v>
      </c>
      <c r="G1084">
        <v>51358</v>
      </c>
    </row>
    <row r="1085" spans="1:7" x14ac:dyDescent="0.25">
      <c r="A1085">
        <v>9371</v>
      </c>
      <c r="B1085" t="s">
        <v>275</v>
      </c>
      <c r="C1085" s="1">
        <v>44827</v>
      </c>
      <c r="D1085" s="1">
        <v>117974</v>
      </c>
      <c r="E1085">
        <v>103277</v>
      </c>
      <c r="F1085">
        <v>51795</v>
      </c>
      <c r="G1085">
        <v>51482</v>
      </c>
    </row>
    <row r="1086" spans="1:7" x14ac:dyDescent="0.25">
      <c r="A1086">
        <v>9372</v>
      </c>
      <c r="B1086" t="s">
        <v>276</v>
      </c>
      <c r="C1086" s="1">
        <v>43831</v>
      </c>
      <c r="D1086" s="1">
        <v>44111</v>
      </c>
      <c r="E1086">
        <v>127882</v>
      </c>
    </row>
    <row r="1087" spans="1:7" x14ac:dyDescent="0.25">
      <c r="A1087">
        <v>9372</v>
      </c>
      <c r="B1087" t="s">
        <v>276</v>
      </c>
      <c r="C1087" s="1">
        <v>44112</v>
      </c>
      <c r="D1087" s="1">
        <v>44433</v>
      </c>
      <c r="E1087">
        <v>127998</v>
      </c>
    </row>
    <row r="1088" spans="1:7" x14ac:dyDescent="0.25">
      <c r="A1088">
        <v>9372</v>
      </c>
      <c r="B1088" t="s">
        <v>276</v>
      </c>
      <c r="C1088" s="1">
        <v>44434</v>
      </c>
      <c r="D1088" s="1">
        <v>44826</v>
      </c>
      <c r="E1088">
        <v>128094</v>
      </c>
      <c r="F1088">
        <v>64292</v>
      </c>
      <c r="G1088">
        <v>63802</v>
      </c>
    </row>
    <row r="1089" spans="1:7" x14ac:dyDescent="0.25">
      <c r="A1089">
        <v>9372</v>
      </c>
      <c r="B1089" t="s">
        <v>276</v>
      </c>
      <c r="C1089" s="1">
        <v>44827</v>
      </c>
      <c r="D1089" s="1">
        <v>117974</v>
      </c>
      <c r="E1089">
        <v>128444</v>
      </c>
      <c r="F1089">
        <v>64549</v>
      </c>
      <c r="G1089">
        <v>63895</v>
      </c>
    </row>
    <row r="1090" spans="1:7" x14ac:dyDescent="0.25">
      <c r="A1090">
        <v>9373</v>
      </c>
      <c r="B1090" t="s">
        <v>277</v>
      </c>
      <c r="C1090" s="1">
        <v>43831</v>
      </c>
      <c r="D1090" s="1">
        <v>44111</v>
      </c>
      <c r="E1090">
        <v>133561</v>
      </c>
    </row>
    <row r="1091" spans="1:7" x14ac:dyDescent="0.25">
      <c r="A1091">
        <v>9373</v>
      </c>
      <c r="B1091" t="s">
        <v>277</v>
      </c>
      <c r="C1091" s="1">
        <v>44112</v>
      </c>
      <c r="D1091" s="1">
        <v>44433</v>
      </c>
      <c r="E1091">
        <v>134573</v>
      </c>
    </row>
    <row r="1092" spans="1:7" x14ac:dyDescent="0.25">
      <c r="A1092">
        <v>9373</v>
      </c>
      <c r="B1092" t="s">
        <v>277</v>
      </c>
      <c r="C1092" s="1">
        <v>44434</v>
      </c>
      <c r="D1092" s="1">
        <v>44826</v>
      </c>
      <c r="E1092">
        <v>135225</v>
      </c>
      <c r="F1092">
        <v>68357</v>
      </c>
      <c r="G1092">
        <v>66868</v>
      </c>
    </row>
    <row r="1093" spans="1:7" x14ac:dyDescent="0.25">
      <c r="A1093">
        <v>9373</v>
      </c>
      <c r="B1093" t="s">
        <v>277</v>
      </c>
      <c r="C1093" s="1">
        <v>44827</v>
      </c>
      <c r="D1093" s="1">
        <v>117974</v>
      </c>
      <c r="E1093">
        <v>136062</v>
      </c>
      <c r="F1093">
        <v>68857</v>
      </c>
      <c r="G1093">
        <v>67205</v>
      </c>
    </row>
    <row r="1094" spans="1:7" x14ac:dyDescent="0.25">
      <c r="A1094">
        <v>9374</v>
      </c>
      <c r="B1094" t="s">
        <v>278</v>
      </c>
      <c r="C1094" s="1">
        <v>43831</v>
      </c>
      <c r="D1094" s="1">
        <v>44111</v>
      </c>
      <c r="E1094">
        <v>94352</v>
      </c>
    </row>
    <row r="1095" spans="1:7" x14ac:dyDescent="0.25">
      <c r="A1095">
        <v>9374</v>
      </c>
      <c r="B1095" t="s">
        <v>278</v>
      </c>
      <c r="C1095" s="1">
        <v>44112</v>
      </c>
      <c r="D1095" s="1">
        <v>44433</v>
      </c>
      <c r="E1095">
        <v>94450</v>
      </c>
    </row>
    <row r="1096" spans="1:7" x14ac:dyDescent="0.25">
      <c r="A1096">
        <v>9374</v>
      </c>
      <c r="B1096" t="s">
        <v>278</v>
      </c>
      <c r="C1096" s="1">
        <v>44434</v>
      </c>
      <c r="D1096" s="1">
        <v>44826</v>
      </c>
      <c r="E1096">
        <v>94645</v>
      </c>
      <c r="F1096">
        <v>47124</v>
      </c>
      <c r="G1096">
        <v>47521</v>
      </c>
    </row>
    <row r="1097" spans="1:7" x14ac:dyDescent="0.25">
      <c r="A1097">
        <v>9374</v>
      </c>
      <c r="B1097" t="s">
        <v>278</v>
      </c>
      <c r="C1097" s="1">
        <v>44827</v>
      </c>
      <c r="D1097" s="1">
        <v>117974</v>
      </c>
      <c r="E1097">
        <v>94838</v>
      </c>
      <c r="F1097">
        <v>47235</v>
      </c>
      <c r="G1097">
        <v>47603</v>
      </c>
    </row>
    <row r="1098" spans="1:7" x14ac:dyDescent="0.25">
      <c r="A1098">
        <v>9375</v>
      </c>
      <c r="B1098" t="s">
        <v>279</v>
      </c>
      <c r="C1098" s="1">
        <v>43831</v>
      </c>
      <c r="D1098" s="1">
        <v>44111</v>
      </c>
      <c r="E1098">
        <v>193572</v>
      </c>
    </row>
    <row r="1099" spans="1:7" x14ac:dyDescent="0.25">
      <c r="A1099">
        <v>9375</v>
      </c>
      <c r="B1099" t="s">
        <v>279</v>
      </c>
      <c r="C1099" s="1">
        <v>44112</v>
      </c>
      <c r="D1099" s="1">
        <v>44433</v>
      </c>
      <c r="E1099">
        <v>194070</v>
      </c>
    </row>
    <row r="1100" spans="1:7" x14ac:dyDescent="0.25">
      <c r="A1100">
        <v>9375</v>
      </c>
      <c r="B1100" t="s">
        <v>279</v>
      </c>
      <c r="C1100" s="1">
        <v>44434</v>
      </c>
      <c r="D1100" s="1">
        <v>44826</v>
      </c>
      <c r="E1100">
        <v>194275</v>
      </c>
      <c r="F1100">
        <v>97228</v>
      </c>
      <c r="G1100">
        <v>97047</v>
      </c>
    </row>
    <row r="1101" spans="1:7" x14ac:dyDescent="0.25">
      <c r="A1101">
        <v>9375</v>
      </c>
      <c r="B1101" t="s">
        <v>279</v>
      </c>
      <c r="C1101" s="1">
        <v>44827</v>
      </c>
      <c r="D1101" s="1">
        <v>117974</v>
      </c>
      <c r="E1101">
        <v>195225</v>
      </c>
      <c r="F1101">
        <v>97630</v>
      </c>
      <c r="G1101">
        <v>97595</v>
      </c>
    </row>
    <row r="1102" spans="1:7" x14ac:dyDescent="0.25">
      <c r="A1102">
        <v>9376</v>
      </c>
      <c r="B1102" t="s">
        <v>280</v>
      </c>
      <c r="C1102" s="1">
        <v>43831</v>
      </c>
      <c r="D1102" s="1">
        <v>44111</v>
      </c>
      <c r="E1102">
        <v>147189</v>
      </c>
    </row>
    <row r="1103" spans="1:7" x14ac:dyDescent="0.25">
      <c r="A1103">
        <v>9376</v>
      </c>
      <c r="B1103" t="s">
        <v>280</v>
      </c>
      <c r="C1103" s="1">
        <v>44112</v>
      </c>
      <c r="D1103" s="1">
        <v>44433</v>
      </c>
      <c r="E1103">
        <v>147872</v>
      </c>
    </row>
    <row r="1104" spans="1:7" x14ac:dyDescent="0.25">
      <c r="A1104">
        <v>9376</v>
      </c>
      <c r="B1104" t="s">
        <v>280</v>
      </c>
      <c r="C1104" s="1">
        <v>44434</v>
      </c>
      <c r="D1104" s="1">
        <v>44826</v>
      </c>
      <c r="E1104">
        <v>148477</v>
      </c>
      <c r="F1104">
        <v>74622</v>
      </c>
      <c r="G1104">
        <v>73855</v>
      </c>
    </row>
    <row r="1105" spans="1:7" x14ac:dyDescent="0.25">
      <c r="A1105">
        <v>9376</v>
      </c>
      <c r="B1105" t="s">
        <v>280</v>
      </c>
      <c r="C1105" s="1">
        <v>44827</v>
      </c>
      <c r="D1105" s="1">
        <v>117974</v>
      </c>
      <c r="E1105">
        <v>149239</v>
      </c>
      <c r="F1105">
        <v>75024</v>
      </c>
      <c r="G1105">
        <v>74215</v>
      </c>
    </row>
    <row r="1106" spans="1:7" x14ac:dyDescent="0.25">
      <c r="A1106">
        <v>9377</v>
      </c>
      <c r="B1106" t="s">
        <v>281</v>
      </c>
      <c r="C1106" s="1">
        <v>43831</v>
      </c>
      <c r="D1106" s="1">
        <v>44111</v>
      </c>
      <c r="E1106">
        <v>72504</v>
      </c>
    </row>
    <row r="1107" spans="1:7" x14ac:dyDescent="0.25">
      <c r="A1107">
        <v>9377</v>
      </c>
      <c r="B1107" t="s">
        <v>281</v>
      </c>
      <c r="C1107" s="1">
        <v>44112</v>
      </c>
      <c r="D1107" s="1">
        <v>44433</v>
      </c>
      <c r="E1107">
        <v>72046</v>
      </c>
    </row>
    <row r="1108" spans="1:7" x14ac:dyDescent="0.25">
      <c r="A1108">
        <v>9377</v>
      </c>
      <c r="B1108" t="s">
        <v>281</v>
      </c>
      <c r="C1108" s="1">
        <v>44434</v>
      </c>
      <c r="D1108" s="1">
        <v>44826</v>
      </c>
      <c r="E1108">
        <v>71696</v>
      </c>
      <c r="F1108">
        <v>35712</v>
      </c>
      <c r="G1108">
        <v>35984</v>
      </c>
    </row>
    <row r="1109" spans="1:7" x14ac:dyDescent="0.25">
      <c r="A1109">
        <v>9377</v>
      </c>
      <c r="B1109" t="s">
        <v>281</v>
      </c>
      <c r="C1109" s="1">
        <v>44827</v>
      </c>
      <c r="D1109" s="1">
        <v>117974</v>
      </c>
      <c r="E1109">
        <v>71648</v>
      </c>
      <c r="F1109">
        <v>35674</v>
      </c>
      <c r="G1109">
        <v>35974</v>
      </c>
    </row>
    <row r="1110" spans="1:7" x14ac:dyDescent="0.25">
      <c r="A1110">
        <v>9461</v>
      </c>
      <c r="B1110" t="s">
        <v>282</v>
      </c>
      <c r="C1110" s="1">
        <v>43831</v>
      </c>
      <c r="D1110" s="1">
        <v>44111</v>
      </c>
      <c r="E1110">
        <v>77592</v>
      </c>
    </row>
    <row r="1111" spans="1:7" x14ac:dyDescent="0.25">
      <c r="A1111">
        <v>9461</v>
      </c>
      <c r="B1111" t="s">
        <v>282</v>
      </c>
      <c r="C1111" s="1">
        <v>44112</v>
      </c>
      <c r="D1111" s="1">
        <v>44433</v>
      </c>
      <c r="E1111">
        <v>77373</v>
      </c>
    </row>
    <row r="1112" spans="1:7" x14ac:dyDescent="0.25">
      <c r="A1112">
        <v>9461</v>
      </c>
      <c r="B1112" t="s">
        <v>282</v>
      </c>
      <c r="C1112" s="1">
        <v>44434</v>
      </c>
      <c r="D1112" s="1">
        <v>44826</v>
      </c>
      <c r="E1112">
        <v>76674</v>
      </c>
      <c r="F1112">
        <v>37065</v>
      </c>
      <c r="G1112">
        <v>39609</v>
      </c>
    </row>
    <row r="1113" spans="1:7" x14ac:dyDescent="0.25">
      <c r="A1113">
        <v>9461</v>
      </c>
      <c r="B1113" t="s">
        <v>282</v>
      </c>
      <c r="C1113" s="1">
        <v>44827</v>
      </c>
      <c r="D1113" s="1">
        <v>117974</v>
      </c>
      <c r="E1113">
        <v>77749</v>
      </c>
      <c r="F1113">
        <v>37702</v>
      </c>
      <c r="G1113">
        <v>40047</v>
      </c>
    </row>
    <row r="1114" spans="1:7" x14ac:dyDescent="0.25">
      <c r="A1114">
        <v>9462</v>
      </c>
      <c r="B1114" t="s">
        <v>283</v>
      </c>
      <c r="C1114" s="1">
        <v>43831</v>
      </c>
      <c r="D1114" s="1">
        <v>44111</v>
      </c>
      <c r="E1114">
        <v>74657</v>
      </c>
    </row>
    <row r="1115" spans="1:7" x14ac:dyDescent="0.25">
      <c r="A1115">
        <v>9462</v>
      </c>
      <c r="B1115" t="s">
        <v>283</v>
      </c>
      <c r="C1115" s="1">
        <v>44112</v>
      </c>
      <c r="D1115" s="1">
        <v>44433</v>
      </c>
      <c r="E1115">
        <v>74783</v>
      </c>
    </row>
    <row r="1116" spans="1:7" x14ac:dyDescent="0.25">
      <c r="A1116">
        <v>9462</v>
      </c>
      <c r="B1116" t="s">
        <v>283</v>
      </c>
      <c r="C1116" s="1">
        <v>44434</v>
      </c>
      <c r="D1116" s="1">
        <v>44826</v>
      </c>
      <c r="E1116">
        <v>74048</v>
      </c>
      <c r="F1116">
        <v>36200</v>
      </c>
      <c r="G1116">
        <v>37848</v>
      </c>
    </row>
    <row r="1117" spans="1:7" x14ac:dyDescent="0.25">
      <c r="A1117">
        <v>9462</v>
      </c>
      <c r="B1117" t="s">
        <v>283</v>
      </c>
      <c r="C1117" s="1">
        <v>44827</v>
      </c>
      <c r="D1117" s="1">
        <v>117974</v>
      </c>
      <c r="E1117">
        <v>73909</v>
      </c>
      <c r="F1117">
        <v>36307</v>
      </c>
      <c r="G1117">
        <v>37602</v>
      </c>
    </row>
    <row r="1118" spans="1:7" x14ac:dyDescent="0.25">
      <c r="A1118">
        <v>9463</v>
      </c>
      <c r="B1118" t="s">
        <v>284</v>
      </c>
      <c r="C1118" s="1">
        <v>43831</v>
      </c>
      <c r="D1118" s="1">
        <v>44111</v>
      </c>
      <c r="E1118">
        <v>41249</v>
      </c>
    </row>
    <row r="1119" spans="1:7" x14ac:dyDescent="0.25">
      <c r="A1119">
        <v>9463</v>
      </c>
      <c r="B1119" t="s">
        <v>284</v>
      </c>
      <c r="C1119" s="1">
        <v>44112</v>
      </c>
      <c r="D1119" s="1">
        <v>44433</v>
      </c>
      <c r="E1119">
        <v>41072</v>
      </c>
    </row>
    <row r="1120" spans="1:7" x14ac:dyDescent="0.25">
      <c r="A1120">
        <v>9463</v>
      </c>
      <c r="B1120" t="s">
        <v>284</v>
      </c>
      <c r="C1120" s="1">
        <v>44434</v>
      </c>
      <c r="D1120" s="1">
        <v>44826</v>
      </c>
      <c r="E1120">
        <v>40842</v>
      </c>
      <c r="F1120">
        <v>19883</v>
      </c>
      <c r="G1120">
        <v>20959</v>
      </c>
    </row>
    <row r="1121" spans="1:7" x14ac:dyDescent="0.25">
      <c r="A1121">
        <v>9463</v>
      </c>
      <c r="B1121" t="s">
        <v>284</v>
      </c>
      <c r="C1121" s="1">
        <v>44827</v>
      </c>
      <c r="D1121" s="1">
        <v>117974</v>
      </c>
      <c r="E1121">
        <v>40955</v>
      </c>
      <c r="F1121">
        <v>19896</v>
      </c>
      <c r="G1121">
        <v>21059</v>
      </c>
    </row>
    <row r="1122" spans="1:7" x14ac:dyDescent="0.25">
      <c r="A1122">
        <v>9464</v>
      </c>
      <c r="B1122" t="s">
        <v>285</v>
      </c>
      <c r="C1122" s="1">
        <v>43831</v>
      </c>
      <c r="D1122" s="1">
        <v>44111</v>
      </c>
      <c r="E1122">
        <v>45930</v>
      </c>
    </row>
    <row r="1123" spans="1:7" x14ac:dyDescent="0.25">
      <c r="A1123">
        <v>9464</v>
      </c>
      <c r="B1123" t="s">
        <v>285</v>
      </c>
      <c r="C1123" s="1">
        <v>44112</v>
      </c>
      <c r="D1123" s="1">
        <v>44433</v>
      </c>
      <c r="E1123">
        <v>45825</v>
      </c>
    </row>
    <row r="1124" spans="1:7" x14ac:dyDescent="0.25">
      <c r="A1124">
        <v>9464</v>
      </c>
      <c r="B1124" t="s">
        <v>285</v>
      </c>
      <c r="C1124" s="1">
        <v>44434</v>
      </c>
      <c r="D1124" s="1">
        <v>44826</v>
      </c>
      <c r="E1124">
        <v>45173</v>
      </c>
      <c r="F1124">
        <v>21757</v>
      </c>
      <c r="G1124">
        <v>23416</v>
      </c>
    </row>
    <row r="1125" spans="1:7" x14ac:dyDescent="0.25">
      <c r="A1125">
        <v>9464</v>
      </c>
      <c r="B1125" t="s">
        <v>285</v>
      </c>
      <c r="C1125" s="1">
        <v>44827</v>
      </c>
      <c r="D1125" s="1">
        <v>117974</v>
      </c>
      <c r="E1125">
        <v>45125</v>
      </c>
      <c r="F1125">
        <v>21847</v>
      </c>
      <c r="G1125">
        <v>23278</v>
      </c>
    </row>
    <row r="1126" spans="1:7" x14ac:dyDescent="0.25">
      <c r="A1126">
        <v>9471</v>
      </c>
      <c r="B1126" t="s">
        <v>286</v>
      </c>
      <c r="C1126" s="1">
        <v>43831</v>
      </c>
      <c r="D1126" s="1">
        <v>44111</v>
      </c>
      <c r="E1126">
        <v>147086</v>
      </c>
    </row>
    <row r="1127" spans="1:7" x14ac:dyDescent="0.25">
      <c r="A1127">
        <v>9471</v>
      </c>
      <c r="B1127" t="s">
        <v>286</v>
      </c>
      <c r="C1127" s="1">
        <v>44112</v>
      </c>
      <c r="D1127" s="1">
        <v>44433</v>
      </c>
      <c r="E1127">
        <v>147163</v>
      </c>
    </row>
    <row r="1128" spans="1:7" x14ac:dyDescent="0.25">
      <c r="A1128">
        <v>9471</v>
      </c>
      <c r="B1128" t="s">
        <v>286</v>
      </c>
      <c r="C1128" s="1">
        <v>44434</v>
      </c>
      <c r="D1128" s="1">
        <v>44826</v>
      </c>
      <c r="E1128">
        <v>147497</v>
      </c>
      <c r="F1128">
        <v>73872</v>
      </c>
      <c r="G1128">
        <v>73625</v>
      </c>
    </row>
    <row r="1129" spans="1:7" x14ac:dyDescent="0.25">
      <c r="A1129">
        <v>9471</v>
      </c>
      <c r="B1129" t="s">
        <v>286</v>
      </c>
      <c r="C1129" s="1">
        <v>44827</v>
      </c>
      <c r="D1129" s="1">
        <v>117974</v>
      </c>
      <c r="E1129">
        <v>147697</v>
      </c>
      <c r="F1129">
        <v>73984</v>
      </c>
      <c r="G1129">
        <v>73713</v>
      </c>
    </row>
    <row r="1130" spans="1:7" x14ac:dyDescent="0.25">
      <c r="A1130">
        <v>9472</v>
      </c>
      <c r="B1130" t="s">
        <v>287</v>
      </c>
      <c r="C1130" s="1">
        <v>43831</v>
      </c>
      <c r="D1130" s="1">
        <v>44111</v>
      </c>
      <c r="E1130">
        <v>103656</v>
      </c>
    </row>
    <row r="1131" spans="1:7" x14ac:dyDescent="0.25">
      <c r="A1131">
        <v>9472</v>
      </c>
      <c r="B1131" t="s">
        <v>287</v>
      </c>
      <c r="C1131" s="1">
        <v>44112</v>
      </c>
      <c r="D1131" s="1">
        <v>44433</v>
      </c>
      <c r="E1131">
        <v>103664</v>
      </c>
    </row>
    <row r="1132" spans="1:7" x14ac:dyDescent="0.25">
      <c r="A1132">
        <v>9472</v>
      </c>
      <c r="B1132" t="s">
        <v>287</v>
      </c>
      <c r="C1132" s="1">
        <v>44434</v>
      </c>
      <c r="D1132" s="1">
        <v>44826</v>
      </c>
      <c r="E1132">
        <v>103679</v>
      </c>
      <c r="F1132">
        <v>51385</v>
      </c>
      <c r="G1132">
        <v>52294</v>
      </c>
    </row>
    <row r="1133" spans="1:7" x14ac:dyDescent="0.25">
      <c r="A1133">
        <v>9472</v>
      </c>
      <c r="B1133" t="s">
        <v>287</v>
      </c>
      <c r="C1133" s="1">
        <v>44827</v>
      </c>
      <c r="D1133" s="1">
        <v>117974</v>
      </c>
      <c r="E1133">
        <v>103648</v>
      </c>
      <c r="F1133">
        <v>51423</v>
      </c>
      <c r="G1133">
        <v>52225</v>
      </c>
    </row>
    <row r="1134" spans="1:7" x14ac:dyDescent="0.25">
      <c r="A1134">
        <v>9473</v>
      </c>
      <c r="B1134" t="s">
        <v>288</v>
      </c>
      <c r="C1134" s="1">
        <v>43831</v>
      </c>
      <c r="D1134" s="1">
        <v>44111</v>
      </c>
      <c r="E1134">
        <v>86906</v>
      </c>
    </row>
    <row r="1135" spans="1:7" x14ac:dyDescent="0.25">
      <c r="A1135">
        <v>9473</v>
      </c>
      <c r="B1135" t="s">
        <v>288</v>
      </c>
      <c r="C1135" s="1">
        <v>44112</v>
      </c>
      <c r="D1135" s="1">
        <v>44433</v>
      </c>
      <c r="E1135">
        <v>86747</v>
      </c>
    </row>
    <row r="1136" spans="1:7" x14ac:dyDescent="0.25">
      <c r="A1136">
        <v>9473</v>
      </c>
      <c r="B1136" t="s">
        <v>288</v>
      </c>
      <c r="C1136" s="1">
        <v>44434</v>
      </c>
      <c r="D1136" s="1">
        <v>44826</v>
      </c>
      <c r="E1136">
        <v>86571</v>
      </c>
      <c r="F1136">
        <v>42744</v>
      </c>
      <c r="G1136">
        <v>43827</v>
      </c>
    </row>
    <row r="1137" spans="1:7" x14ac:dyDescent="0.25">
      <c r="A1137">
        <v>9473</v>
      </c>
      <c r="B1137" t="s">
        <v>288</v>
      </c>
      <c r="C1137" s="1">
        <v>44827</v>
      </c>
      <c r="D1137" s="1">
        <v>117974</v>
      </c>
      <c r="E1137">
        <v>86544</v>
      </c>
      <c r="F1137">
        <v>42781</v>
      </c>
      <c r="G1137">
        <v>43763</v>
      </c>
    </row>
    <row r="1138" spans="1:7" x14ac:dyDescent="0.25">
      <c r="A1138">
        <v>9474</v>
      </c>
      <c r="B1138" t="s">
        <v>289</v>
      </c>
      <c r="C1138" s="1">
        <v>43831</v>
      </c>
      <c r="D1138" s="1">
        <v>44111</v>
      </c>
      <c r="E1138">
        <v>116099</v>
      </c>
    </row>
    <row r="1139" spans="1:7" x14ac:dyDescent="0.25">
      <c r="A1139">
        <v>9474</v>
      </c>
      <c r="B1139" t="s">
        <v>289</v>
      </c>
      <c r="C1139" s="1">
        <v>44112</v>
      </c>
      <c r="D1139" s="1">
        <v>44433</v>
      </c>
      <c r="E1139">
        <v>116203</v>
      </c>
    </row>
    <row r="1140" spans="1:7" x14ac:dyDescent="0.25">
      <c r="A1140">
        <v>9474</v>
      </c>
      <c r="B1140" t="s">
        <v>289</v>
      </c>
      <c r="C1140" s="1">
        <v>44434</v>
      </c>
      <c r="D1140" s="1">
        <v>44826</v>
      </c>
      <c r="E1140">
        <v>116600</v>
      </c>
      <c r="F1140">
        <v>57924</v>
      </c>
      <c r="G1140">
        <v>58676</v>
      </c>
    </row>
    <row r="1141" spans="1:7" x14ac:dyDescent="0.25">
      <c r="A1141">
        <v>9474</v>
      </c>
      <c r="B1141" t="s">
        <v>289</v>
      </c>
      <c r="C1141" s="1">
        <v>44827</v>
      </c>
      <c r="D1141" s="1">
        <v>117974</v>
      </c>
      <c r="E1141">
        <v>116753</v>
      </c>
      <c r="F1141">
        <v>57917</v>
      </c>
      <c r="G1141">
        <v>58836</v>
      </c>
    </row>
    <row r="1142" spans="1:7" x14ac:dyDescent="0.25">
      <c r="A1142">
        <v>9475</v>
      </c>
      <c r="B1142" t="s">
        <v>290</v>
      </c>
      <c r="C1142" s="1">
        <v>43831</v>
      </c>
      <c r="D1142" s="1">
        <v>44111</v>
      </c>
      <c r="E1142">
        <v>95311</v>
      </c>
    </row>
    <row r="1143" spans="1:7" x14ac:dyDescent="0.25">
      <c r="A1143">
        <v>9475</v>
      </c>
      <c r="B1143" t="s">
        <v>290</v>
      </c>
      <c r="C1143" s="1">
        <v>44112</v>
      </c>
      <c r="D1143" s="1">
        <v>44433</v>
      </c>
      <c r="E1143">
        <v>94801</v>
      </c>
    </row>
    <row r="1144" spans="1:7" x14ac:dyDescent="0.25">
      <c r="A1144">
        <v>9475</v>
      </c>
      <c r="B1144" t="s">
        <v>290</v>
      </c>
      <c r="C1144" s="1">
        <v>44434</v>
      </c>
      <c r="D1144" s="1">
        <v>44826</v>
      </c>
      <c r="E1144">
        <v>94522</v>
      </c>
      <c r="F1144">
        <v>46316</v>
      </c>
      <c r="G1144">
        <v>48206</v>
      </c>
    </row>
    <row r="1145" spans="1:7" x14ac:dyDescent="0.25">
      <c r="A1145">
        <v>9475</v>
      </c>
      <c r="B1145" t="s">
        <v>290</v>
      </c>
      <c r="C1145" s="1">
        <v>44827</v>
      </c>
      <c r="D1145" s="1">
        <v>117974</v>
      </c>
      <c r="E1145">
        <v>93907</v>
      </c>
      <c r="F1145">
        <v>46017</v>
      </c>
      <c r="G1145">
        <v>47890</v>
      </c>
    </row>
    <row r="1146" spans="1:7" x14ac:dyDescent="0.25">
      <c r="A1146">
        <v>9476</v>
      </c>
      <c r="B1146" t="s">
        <v>291</v>
      </c>
      <c r="C1146" s="1">
        <v>43831</v>
      </c>
      <c r="D1146" s="1">
        <v>44111</v>
      </c>
      <c r="E1146">
        <v>67135</v>
      </c>
    </row>
    <row r="1147" spans="1:7" x14ac:dyDescent="0.25">
      <c r="A1147">
        <v>9476</v>
      </c>
      <c r="B1147" t="s">
        <v>291</v>
      </c>
      <c r="C1147" s="1">
        <v>44112</v>
      </c>
      <c r="D1147" s="1">
        <v>44433</v>
      </c>
      <c r="E1147">
        <v>66743</v>
      </c>
    </row>
    <row r="1148" spans="1:7" x14ac:dyDescent="0.25">
      <c r="A1148">
        <v>9476</v>
      </c>
      <c r="B1148" t="s">
        <v>291</v>
      </c>
      <c r="C1148" s="1">
        <v>44434</v>
      </c>
      <c r="D1148" s="1">
        <v>44826</v>
      </c>
      <c r="E1148">
        <v>66355</v>
      </c>
      <c r="F1148">
        <v>32789</v>
      </c>
      <c r="G1148">
        <v>33566</v>
      </c>
    </row>
    <row r="1149" spans="1:7" x14ac:dyDescent="0.25">
      <c r="A1149">
        <v>9476</v>
      </c>
      <c r="B1149" t="s">
        <v>291</v>
      </c>
      <c r="C1149" s="1">
        <v>44827</v>
      </c>
      <c r="D1149" s="1">
        <v>117974</v>
      </c>
      <c r="E1149">
        <v>66091</v>
      </c>
      <c r="F1149">
        <v>32676</v>
      </c>
      <c r="G1149">
        <v>33415</v>
      </c>
    </row>
    <row r="1150" spans="1:7" x14ac:dyDescent="0.25">
      <c r="A1150">
        <v>9477</v>
      </c>
      <c r="B1150" t="s">
        <v>292</v>
      </c>
      <c r="C1150" s="1">
        <v>43831</v>
      </c>
      <c r="D1150" s="1">
        <v>44111</v>
      </c>
      <c r="E1150">
        <v>71845</v>
      </c>
    </row>
    <row r="1151" spans="1:7" x14ac:dyDescent="0.25">
      <c r="A1151">
        <v>9477</v>
      </c>
      <c r="B1151" t="s">
        <v>292</v>
      </c>
      <c r="C1151" s="1">
        <v>44112</v>
      </c>
      <c r="D1151" s="1">
        <v>44433</v>
      </c>
      <c r="E1151">
        <v>71566</v>
      </c>
    </row>
    <row r="1152" spans="1:7" x14ac:dyDescent="0.25">
      <c r="A1152">
        <v>9477</v>
      </c>
      <c r="B1152" t="s">
        <v>292</v>
      </c>
      <c r="C1152" s="1">
        <v>44434</v>
      </c>
      <c r="D1152" s="1">
        <v>44826</v>
      </c>
      <c r="E1152">
        <v>71428</v>
      </c>
      <c r="F1152">
        <v>35174</v>
      </c>
      <c r="G1152">
        <v>36254</v>
      </c>
    </row>
    <row r="1153" spans="1:7" x14ac:dyDescent="0.25">
      <c r="A1153">
        <v>9477</v>
      </c>
      <c r="B1153" t="s">
        <v>292</v>
      </c>
      <c r="C1153" s="1">
        <v>44827</v>
      </c>
      <c r="D1153" s="1">
        <v>117974</v>
      </c>
      <c r="E1153">
        <v>71328</v>
      </c>
      <c r="F1153">
        <v>35111</v>
      </c>
      <c r="G1153">
        <v>36217</v>
      </c>
    </row>
    <row r="1154" spans="1:7" x14ac:dyDescent="0.25">
      <c r="A1154">
        <v>9478</v>
      </c>
      <c r="B1154" t="s">
        <v>293</v>
      </c>
      <c r="C1154" s="1">
        <v>43831</v>
      </c>
      <c r="D1154" s="1">
        <v>44111</v>
      </c>
      <c r="E1154">
        <v>66838</v>
      </c>
    </row>
    <row r="1155" spans="1:7" x14ac:dyDescent="0.25">
      <c r="A1155">
        <v>9478</v>
      </c>
      <c r="B1155" t="s">
        <v>293</v>
      </c>
      <c r="C1155" s="1">
        <v>44112</v>
      </c>
      <c r="D1155" s="1">
        <v>44433</v>
      </c>
      <c r="E1155">
        <v>66776</v>
      </c>
    </row>
    <row r="1156" spans="1:7" x14ac:dyDescent="0.25">
      <c r="A1156">
        <v>9478</v>
      </c>
      <c r="B1156" t="s">
        <v>293</v>
      </c>
      <c r="C1156" s="1">
        <v>44434</v>
      </c>
      <c r="D1156" s="1">
        <v>44826</v>
      </c>
      <c r="E1156">
        <v>66722</v>
      </c>
      <c r="F1156">
        <v>32949</v>
      </c>
      <c r="G1156">
        <v>33773</v>
      </c>
    </row>
    <row r="1157" spans="1:7" x14ac:dyDescent="0.25">
      <c r="A1157">
        <v>9478</v>
      </c>
      <c r="B1157" t="s">
        <v>293</v>
      </c>
      <c r="C1157" s="1">
        <v>44827</v>
      </c>
      <c r="D1157" s="1">
        <v>117974</v>
      </c>
      <c r="E1157">
        <v>66741</v>
      </c>
      <c r="F1157">
        <v>32949</v>
      </c>
      <c r="G1157">
        <v>33792</v>
      </c>
    </row>
    <row r="1158" spans="1:7" x14ac:dyDescent="0.25">
      <c r="A1158">
        <v>9479</v>
      </c>
      <c r="B1158" t="s">
        <v>294</v>
      </c>
      <c r="C1158" s="1">
        <v>43831</v>
      </c>
      <c r="D1158" s="1">
        <v>44111</v>
      </c>
      <c r="E1158">
        <v>73178</v>
      </c>
    </row>
    <row r="1159" spans="1:7" x14ac:dyDescent="0.25">
      <c r="A1159">
        <v>9479</v>
      </c>
      <c r="B1159" t="s">
        <v>294</v>
      </c>
      <c r="C1159" s="1">
        <v>44112</v>
      </c>
      <c r="D1159" s="1">
        <v>44433</v>
      </c>
      <c r="E1159">
        <v>72655</v>
      </c>
    </row>
    <row r="1160" spans="1:7" x14ac:dyDescent="0.25">
      <c r="A1160">
        <v>9479</v>
      </c>
      <c r="B1160" t="s">
        <v>294</v>
      </c>
      <c r="C1160" s="1">
        <v>44434</v>
      </c>
      <c r="D1160" s="1">
        <v>44826</v>
      </c>
      <c r="E1160">
        <v>71974</v>
      </c>
      <c r="F1160">
        <v>35198</v>
      </c>
      <c r="G1160">
        <v>36776</v>
      </c>
    </row>
    <row r="1161" spans="1:7" x14ac:dyDescent="0.25">
      <c r="A1161">
        <v>9479</v>
      </c>
      <c r="B1161" t="s">
        <v>294</v>
      </c>
      <c r="C1161" s="1">
        <v>44827</v>
      </c>
      <c r="D1161" s="1">
        <v>117974</v>
      </c>
      <c r="E1161">
        <v>71482</v>
      </c>
      <c r="F1161">
        <v>34955</v>
      </c>
      <c r="G1161">
        <v>36527</v>
      </c>
    </row>
    <row r="1162" spans="1:7" x14ac:dyDescent="0.25">
      <c r="A1162">
        <v>9561</v>
      </c>
      <c r="B1162" t="s">
        <v>295</v>
      </c>
      <c r="C1162" s="1">
        <v>43831</v>
      </c>
      <c r="D1162" s="1">
        <v>44111</v>
      </c>
      <c r="E1162">
        <v>41847</v>
      </c>
    </row>
    <row r="1163" spans="1:7" x14ac:dyDescent="0.25">
      <c r="A1163">
        <v>9561</v>
      </c>
      <c r="B1163" t="s">
        <v>295</v>
      </c>
      <c r="C1163" s="1">
        <v>44112</v>
      </c>
      <c r="D1163" s="1">
        <v>44433</v>
      </c>
      <c r="E1163">
        <v>41798</v>
      </c>
    </row>
    <row r="1164" spans="1:7" x14ac:dyDescent="0.25">
      <c r="A1164">
        <v>9561</v>
      </c>
      <c r="B1164" t="s">
        <v>295</v>
      </c>
      <c r="C1164" s="1">
        <v>44434</v>
      </c>
      <c r="D1164" s="1">
        <v>44826</v>
      </c>
      <c r="E1164">
        <v>41681</v>
      </c>
      <c r="F1164">
        <v>19999</v>
      </c>
      <c r="G1164">
        <v>21682</v>
      </c>
    </row>
    <row r="1165" spans="1:7" x14ac:dyDescent="0.25">
      <c r="A1165">
        <v>9561</v>
      </c>
      <c r="B1165" t="s">
        <v>295</v>
      </c>
      <c r="C1165" s="1">
        <v>44827</v>
      </c>
      <c r="D1165" s="1">
        <v>117974</v>
      </c>
      <c r="E1165">
        <v>41662</v>
      </c>
      <c r="F1165">
        <v>19946</v>
      </c>
      <c r="G1165">
        <v>21716</v>
      </c>
    </row>
    <row r="1166" spans="1:7" x14ac:dyDescent="0.25">
      <c r="A1166">
        <v>9562</v>
      </c>
      <c r="B1166" t="s">
        <v>296</v>
      </c>
      <c r="C1166" s="1">
        <v>43831</v>
      </c>
      <c r="D1166" s="1">
        <v>44111</v>
      </c>
      <c r="E1166">
        <v>111962</v>
      </c>
    </row>
    <row r="1167" spans="1:7" x14ac:dyDescent="0.25">
      <c r="A1167">
        <v>9562</v>
      </c>
      <c r="B1167" t="s">
        <v>296</v>
      </c>
      <c r="C1167" s="1">
        <v>44112</v>
      </c>
      <c r="D1167" s="1">
        <v>44433</v>
      </c>
      <c r="E1167">
        <v>112528</v>
      </c>
    </row>
    <row r="1168" spans="1:7" x14ac:dyDescent="0.25">
      <c r="A1168">
        <v>9562</v>
      </c>
      <c r="B1168" t="s">
        <v>296</v>
      </c>
      <c r="C1168" s="1">
        <v>44434</v>
      </c>
      <c r="D1168" s="1">
        <v>44826</v>
      </c>
      <c r="E1168">
        <v>112385</v>
      </c>
      <c r="F1168">
        <v>55944</v>
      </c>
      <c r="G1168">
        <v>56441</v>
      </c>
    </row>
    <row r="1169" spans="1:7" x14ac:dyDescent="0.25">
      <c r="A1169">
        <v>9562</v>
      </c>
      <c r="B1169" t="s">
        <v>296</v>
      </c>
      <c r="C1169" s="1">
        <v>44827</v>
      </c>
      <c r="D1169" s="1">
        <v>117974</v>
      </c>
      <c r="E1169">
        <v>113292</v>
      </c>
      <c r="F1169">
        <v>56520</v>
      </c>
      <c r="G1169">
        <v>56772</v>
      </c>
    </row>
    <row r="1170" spans="1:7" x14ac:dyDescent="0.25">
      <c r="A1170">
        <v>9563</v>
      </c>
      <c r="B1170" t="s">
        <v>297</v>
      </c>
      <c r="C1170" s="1">
        <v>43831</v>
      </c>
      <c r="D1170" s="1">
        <v>44111</v>
      </c>
      <c r="E1170">
        <v>127748</v>
      </c>
    </row>
    <row r="1171" spans="1:7" x14ac:dyDescent="0.25">
      <c r="A1171">
        <v>9563</v>
      </c>
      <c r="B1171" t="s">
        <v>297</v>
      </c>
      <c r="C1171" s="1">
        <v>44112</v>
      </c>
      <c r="D1171" s="1">
        <v>44433</v>
      </c>
      <c r="E1171">
        <v>128497</v>
      </c>
    </row>
    <row r="1172" spans="1:7" x14ac:dyDescent="0.25">
      <c r="A1172">
        <v>9563</v>
      </c>
      <c r="B1172" t="s">
        <v>297</v>
      </c>
      <c r="C1172" s="1">
        <v>44434</v>
      </c>
      <c r="D1172" s="1">
        <v>44826</v>
      </c>
      <c r="E1172">
        <v>128223</v>
      </c>
      <c r="F1172">
        <v>62837</v>
      </c>
      <c r="G1172">
        <v>65386</v>
      </c>
    </row>
    <row r="1173" spans="1:7" x14ac:dyDescent="0.25">
      <c r="A1173">
        <v>9563</v>
      </c>
      <c r="B1173" t="s">
        <v>297</v>
      </c>
      <c r="C1173" s="1">
        <v>44827</v>
      </c>
      <c r="D1173" s="1">
        <v>117974</v>
      </c>
      <c r="E1173">
        <v>129122</v>
      </c>
      <c r="F1173">
        <v>63224</v>
      </c>
      <c r="G1173">
        <v>65898</v>
      </c>
    </row>
    <row r="1174" spans="1:7" x14ac:dyDescent="0.25">
      <c r="A1174">
        <v>9564</v>
      </c>
      <c r="B1174" t="s">
        <v>298</v>
      </c>
      <c r="C1174" s="1">
        <v>43831</v>
      </c>
      <c r="D1174" s="1">
        <v>44111</v>
      </c>
      <c r="E1174">
        <v>518365</v>
      </c>
    </row>
    <row r="1175" spans="1:7" x14ac:dyDescent="0.25">
      <c r="A1175">
        <v>9564</v>
      </c>
      <c r="B1175" t="s">
        <v>298</v>
      </c>
      <c r="C1175" s="1">
        <v>44112</v>
      </c>
      <c r="D1175" s="1">
        <v>44433</v>
      </c>
      <c r="E1175">
        <v>518370</v>
      </c>
    </row>
    <row r="1176" spans="1:7" x14ac:dyDescent="0.25">
      <c r="A1176">
        <v>9564</v>
      </c>
      <c r="B1176" t="s">
        <v>298</v>
      </c>
      <c r="C1176" s="1">
        <v>44434</v>
      </c>
      <c r="D1176" s="1">
        <v>44826</v>
      </c>
      <c r="E1176">
        <v>515543</v>
      </c>
      <c r="F1176">
        <v>251839</v>
      </c>
      <c r="G1176">
        <v>263704</v>
      </c>
    </row>
    <row r="1177" spans="1:7" x14ac:dyDescent="0.25">
      <c r="A1177">
        <v>9564</v>
      </c>
      <c r="B1177" t="s">
        <v>298</v>
      </c>
      <c r="C1177" s="1">
        <v>44827</v>
      </c>
      <c r="D1177" s="1">
        <v>117974</v>
      </c>
      <c r="E1177">
        <v>510632</v>
      </c>
      <c r="F1177">
        <v>249546</v>
      </c>
      <c r="G1177">
        <v>261086</v>
      </c>
    </row>
    <row r="1178" spans="1:7" x14ac:dyDescent="0.25">
      <c r="A1178">
        <v>9565</v>
      </c>
      <c r="B1178" t="s">
        <v>299</v>
      </c>
      <c r="C1178" s="1">
        <v>43831</v>
      </c>
      <c r="D1178" s="1">
        <v>44111</v>
      </c>
      <c r="E1178">
        <v>40792</v>
      </c>
    </row>
    <row r="1179" spans="1:7" x14ac:dyDescent="0.25">
      <c r="A1179">
        <v>9565</v>
      </c>
      <c r="B1179" t="s">
        <v>299</v>
      </c>
      <c r="C1179" s="1">
        <v>44112</v>
      </c>
      <c r="D1179" s="1">
        <v>44433</v>
      </c>
      <c r="E1179">
        <v>40981</v>
      </c>
    </row>
    <row r="1180" spans="1:7" x14ac:dyDescent="0.25">
      <c r="A1180">
        <v>9565</v>
      </c>
      <c r="B1180" t="s">
        <v>299</v>
      </c>
      <c r="C1180" s="1">
        <v>44434</v>
      </c>
      <c r="D1180" s="1">
        <v>44826</v>
      </c>
      <c r="E1180">
        <v>41056</v>
      </c>
      <c r="F1180">
        <v>20173</v>
      </c>
      <c r="G1180">
        <v>20883</v>
      </c>
    </row>
    <row r="1181" spans="1:7" x14ac:dyDescent="0.25">
      <c r="A1181">
        <v>9565</v>
      </c>
      <c r="B1181" t="s">
        <v>299</v>
      </c>
      <c r="C1181" s="1">
        <v>44827</v>
      </c>
      <c r="D1181" s="1">
        <v>117974</v>
      </c>
      <c r="E1181">
        <v>41146</v>
      </c>
      <c r="F1181">
        <v>20207</v>
      </c>
      <c r="G1181">
        <v>20939</v>
      </c>
    </row>
    <row r="1182" spans="1:7" x14ac:dyDescent="0.25">
      <c r="A1182">
        <v>9571</v>
      </c>
      <c r="B1182" t="s">
        <v>300</v>
      </c>
      <c r="C1182" s="1">
        <v>43831</v>
      </c>
      <c r="D1182" s="1">
        <v>44111</v>
      </c>
      <c r="E1182">
        <v>183949</v>
      </c>
    </row>
    <row r="1183" spans="1:7" x14ac:dyDescent="0.25">
      <c r="A1183">
        <v>9571</v>
      </c>
      <c r="B1183" t="s">
        <v>300</v>
      </c>
      <c r="C1183" s="1">
        <v>44112</v>
      </c>
      <c r="D1183" s="1">
        <v>44433</v>
      </c>
      <c r="E1183">
        <v>184591</v>
      </c>
    </row>
    <row r="1184" spans="1:7" x14ac:dyDescent="0.25">
      <c r="A1184">
        <v>9571</v>
      </c>
      <c r="B1184" t="s">
        <v>300</v>
      </c>
      <c r="C1184" s="1">
        <v>44434</v>
      </c>
      <c r="D1184" s="1">
        <v>44826</v>
      </c>
      <c r="E1184">
        <v>185316</v>
      </c>
      <c r="F1184">
        <v>93084</v>
      </c>
      <c r="G1184">
        <v>92232</v>
      </c>
    </row>
    <row r="1185" spans="1:7" x14ac:dyDescent="0.25">
      <c r="A1185">
        <v>9571</v>
      </c>
      <c r="B1185" t="s">
        <v>300</v>
      </c>
      <c r="C1185" s="1">
        <v>44827</v>
      </c>
      <c r="D1185" s="1">
        <v>117974</v>
      </c>
      <c r="E1185">
        <v>186279</v>
      </c>
      <c r="F1185">
        <v>93562</v>
      </c>
      <c r="G1185">
        <v>92717</v>
      </c>
    </row>
    <row r="1186" spans="1:7" x14ac:dyDescent="0.25">
      <c r="A1186">
        <v>9572</v>
      </c>
      <c r="B1186" t="s">
        <v>301</v>
      </c>
      <c r="C1186" s="1">
        <v>43831</v>
      </c>
      <c r="D1186" s="1">
        <v>44111</v>
      </c>
      <c r="E1186">
        <v>136271</v>
      </c>
    </row>
    <row r="1187" spans="1:7" x14ac:dyDescent="0.25">
      <c r="A1187">
        <v>9572</v>
      </c>
      <c r="B1187" t="s">
        <v>301</v>
      </c>
      <c r="C1187" s="1">
        <v>44112</v>
      </c>
      <c r="D1187" s="1">
        <v>44433</v>
      </c>
      <c r="E1187">
        <v>137262</v>
      </c>
    </row>
    <row r="1188" spans="1:7" x14ac:dyDescent="0.25">
      <c r="A1188">
        <v>9572</v>
      </c>
      <c r="B1188" t="s">
        <v>301</v>
      </c>
      <c r="C1188" s="1">
        <v>44434</v>
      </c>
      <c r="D1188" s="1">
        <v>44826</v>
      </c>
      <c r="E1188">
        <v>138105</v>
      </c>
      <c r="F1188">
        <v>68554</v>
      </c>
      <c r="G1188">
        <v>69551</v>
      </c>
    </row>
    <row r="1189" spans="1:7" x14ac:dyDescent="0.25">
      <c r="A1189">
        <v>9572</v>
      </c>
      <c r="B1189" t="s">
        <v>301</v>
      </c>
      <c r="C1189" s="1">
        <v>44827</v>
      </c>
      <c r="D1189" s="1">
        <v>117974</v>
      </c>
      <c r="E1189">
        <v>139323</v>
      </c>
      <c r="F1189">
        <v>69214</v>
      </c>
      <c r="G1189">
        <v>70109</v>
      </c>
    </row>
    <row r="1190" spans="1:7" x14ac:dyDescent="0.25">
      <c r="A1190">
        <v>9573</v>
      </c>
      <c r="B1190" t="s">
        <v>302</v>
      </c>
      <c r="C1190" s="1">
        <v>43831</v>
      </c>
      <c r="D1190" s="1">
        <v>44111</v>
      </c>
      <c r="E1190">
        <v>117387</v>
      </c>
    </row>
    <row r="1191" spans="1:7" x14ac:dyDescent="0.25">
      <c r="A1191">
        <v>9573</v>
      </c>
      <c r="B1191" t="s">
        <v>302</v>
      </c>
      <c r="C1191" s="1">
        <v>44112</v>
      </c>
      <c r="D1191" s="1">
        <v>44433</v>
      </c>
      <c r="E1191">
        <v>117853</v>
      </c>
    </row>
    <row r="1192" spans="1:7" x14ac:dyDescent="0.25">
      <c r="A1192">
        <v>9573</v>
      </c>
      <c r="B1192" t="s">
        <v>302</v>
      </c>
      <c r="C1192" s="1">
        <v>44434</v>
      </c>
      <c r="D1192" s="1">
        <v>44826</v>
      </c>
      <c r="E1192">
        <v>118695</v>
      </c>
      <c r="F1192">
        <v>57692</v>
      </c>
      <c r="G1192">
        <v>61003</v>
      </c>
    </row>
    <row r="1193" spans="1:7" x14ac:dyDescent="0.25">
      <c r="A1193">
        <v>9573</v>
      </c>
      <c r="B1193" t="s">
        <v>302</v>
      </c>
      <c r="C1193" s="1">
        <v>44827</v>
      </c>
      <c r="D1193" s="1">
        <v>117974</v>
      </c>
      <c r="E1193">
        <v>119432</v>
      </c>
      <c r="F1193">
        <v>58211</v>
      </c>
      <c r="G1193">
        <v>61221</v>
      </c>
    </row>
    <row r="1194" spans="1:7" x14ac:dyDescent="0.25">
      <c r="A1194">
        <v>9574</v>
      </c>
      <c r="B1194" t="s">
        <v>303</v>
      </c>
      <c r="C1194" s="1">
        <v>43831</v>
      </c>
      <c r="D1194" s="1">
        <v>44111</v>
      </c>
      <c r="E1194">
        <v>170365</v>
      </c>
    </row>
    <row r="1195" spans="1:7" x14ac:dyDescent="0.25">
      <c r="A1195">
        <v>9574</v>
      </c>
      <c r="B1195" t="s">
        <v>303</v>
      </c>
      <c r="C1195" s="1">
        <v>44112</v>
      </c>
      <c r="D1195" s="1">
        <v>44433</v>
      </c>
      <c r="E1195">
        <v>170792</v>
      </c>
    </row>
    <row r="1196" spans="1:7" x14ac:dyDescent="0.25">
      <c r="A1196">
        <v>9574</v>
      </c>
      <c r="B1196" t="s">
        <v>303</v>
      </c>
      <c r="C1196" s="1">
        <v>44434</v>
      </c>
      <c r="D1196" s="1">
        <v>44826</v>
      </c>
      <c r="E1196">
        <v>171143</v>
      </c>
      <c r="F1196">
        <v>84222</v>
      </c>
      <c r="G1196">
        <v>86921</v>
      </c>
    </row>
    <row r="1197" spans="1:7" x14ac:dyDescent="0.25">
      <c r="A1197">
        <v>9574</v>
      </c>
      <c r="B1197" t="s">
        <v>303</v>
      </c>
      <c r="C1197" s="1">
        <v>44827</v>
      </c>
      <c r="D1197" s="1">
        <v>117974</v>
      </c>
      <c r="E1197">
        <v>171424</v>
      </c>
      <c r="F1197">
        <v>84391</v>
      </c>
      <c r="G1197">
        <v>87033</v>
      </c>
    </row>
    <row r="1198" spans="1:7" x14ac:dyDescent="0.25">
      <c r="A1198">
        <v>9575</v>
      </c>
      <c r="B1198" t="s">
        <v>304</v>
      </c>
      <c r="C1198" s="1">
        <v>43831</v>
      </c>
      <c r="D1198" s="1">
        <v>44111</v>
      </c>
      <c r="E1198">
        <v>100364</v>
      </c>
    </row>
    <row r="1199" spans="1:7" x14ac:dyDescent="0.25">
      <c r="A1199">
        <v>9575</v>
      </c>
      <c r="B1199" t="s">
        <v>304</v>
      </c>
      <c r="C1199" s="1">
        <v>44112</v>
      </c>
      <c r="D1199" s="1">
        <v>44433</v>
      </c>
      <c r="E1199">
        <v>101014</v>
      </c>
    </row>
    <row r="1200" spans="1:7" x14ac:dyDescent="0.25">
      <c r="A1200">
        <v>9575</v>
      </c>
      <c r="B1200" t="s">
        <v>304</v>
      </c>
      <c r="C1200" s="1">
        <v>44434</v>
      </c>
      <c r="D1200" s="1">
        <v>44826</v>
      </c>
      <c r="E1200">
        <v>101272</v>
      </c>
      <c r="F1200">
        <v>50756</v>
      </c>
      <c r="G1200">
        <v>50516</v>
      </c>
    </row>
    <row r="1201" spans="1:7" x14ac:dyDescent="0.25">
      <c r="A1201">
        <v>9575</v>
      </c>
      <c r="B1201" t="s">
        <v>304</v>
      </c>
      <c r="C1201" s="1">
        <v>44827</v>
      </c>
      <c r="D1201" s="1">
        <v>117974</v>
      </c>
      <c r="E1201">
        <v>101788</v>
      </c>
      <c r="F1201">
        <v>51017</v>
      </c>
      <c r="G1201">
        <v>50771</v>
      </c>
    </row>
    <row r="1202" spans="1:7" x14ac:dyDescent="0.25">
      <c r="A1202">
        <v>9576</v>
      </c>
      <c r="B1202" t="s">
        <v>305</v>
      </c>
      <c r="C1202" s="1">
        <v>43831</v>
      </c>
      <c r="D1202" s="1">
        <v>44111</v>
      </c>
      <c r="E1202">
        <v>126958</v>
      </c>
    </row>
    <row r="1203" spans="1:7" x14ac:dyDescent="0.25">
      <c r="A1203">
        <v>9576</v>
      </c>
      <c r="B1203" t="s">
        <v>305</v>
      </c>
      <c r="C1203" s="1">
        <v>44112</v>
      </c>
      <c r="D1203" s="1">
        <v>44433</v>
      </c>
      <c r="E1203">
        <v>126749</v>
      </c>
    </row>
    <row r="1204" spans="1:7" x14ac:dyDescent="0.25">
      <c r="A1204">
        <v>9576</v>
      </c>
      <c r="B1204" t="s">
        <v>305</v>
      </c>
      <c r="C1204" s="1">
        <v>44434</v>
      </c>
      <c r="D1204" s="1">
        <v>44826</v>
      </c>
      <c r="E1204">
        <v>127168</v>
      </c>
      <c r="F1204">
        <v>63132</v>
      </c>
      <c r="G1204">
        <v>64036</v>
      </c>
    </row>
    <row r="1205" spans="1:7" x14ac:dyDescent="0.25">
      <c r="A1205">
        <v>9576</v>
      </c>
      <c r="B1205" t="s">
        <v>305</v>
      </c>
      <c r="C1205" s="1">
        <v>44827</v>
      </c>
      <c r="D1205" s="1">
        <v>117974</v>
      </c>
      <c r="E1205">
        <v>127520</v>
      </c>
      <c r="F1205">
        <v>63240</v>
      </c>
      <c r="G1205">
        <v>64280</v>
      </c>
    </row>
    <row r="1206" spans="1:7" x14ac:dyDescent="0.25">
      <c r="A1206">
        <v>9577</v>
      </c>
      <c r="B1206" t="s">
        <v>306</v>
      </c>
      <c r="C1206" s="1">
        <v>43831</v>
      </c>
      <c r="D1206" s="1">
        <v>44111</v>
      </c>
      <c r="E1206">
        <v>94393</v>
      </c>
    </row>
    <row r="1207" spans="1:7" x14ac:dyDescent="0.25">
      <c r="A1207">
        <v>9577</v>
      </c>
      <c r="B1207" t="s">
        <v>306</v>
      </c>
      <c r="C1207" s="1">
        <v>44112</v>
      </c>
      <c r="D1207" s="1">
        <v>44433</v>
      </c>
      <c r="E1207">
        <v>94734</v>
      </c>
    </row>
    <row r="1208" spans="1:7" x14ac:dyDescent="0.25">
      <c r="A1208">
        <v>9577</v>
      </c>
      <c r="B1208" t="s">
        <v>306</v>
      </c>
      <c r="C1208" s="1">
        <v>44434</v>
      </c>
      <c r="D1208" s="1">
        <v>44826</v>
      </c>
      <c r="E1208">
        <v>95117</v>
      </c>
      <c r="F1208">
        <v>47488</v>
      </c>
      <c r="G1208">
        <v>47629</v>
      </c>
    </row>
    <row r="1209" spans="1:7" x14ac:dyDescent="0.25">
      <c r="A1209">
        <v>9577</v>
      </c>
      <c r="B1209" t="s">
        <v>306</v>
      </c>
      <c r="C1209" s="1">
        <v>44827</v>
      </c>
      <c r="D1209" s="1">
        <v>117974</v>
      </c>
      <c r="E1209">
        <v>95523</v>
      </c>
      <c r="F1209">
        <v>47641</v>
      </c>
      <c r="G1209">
        <v>47882</v>
      </c>
    </row>
    <row r="1210" spans="1:7" x14ac:dyDescent="0.25">
      <c r="A1210">
        <v>9661</v>
      </c>
      <c r="B1210" t="s">
        <v>307</v>
      </c>
      <c r="C1210" s="1">
        <v>43831</v>
      </c>
      <c r="D1210" s="1">
        <v>44111</v>
      </c>
      <c r="E1210">
        <v>70527</v>
      </c>
    </row>
    <row r="1211" spans="1:7" x14ac:dyDescent="0.25">
      <c r="A1211">
        <v>9661</v>
      </c>
      <c r="B1211" t="s">
        <v>307</v>
      </c>
      <c r="C1211" s="1">
        <v>44112</v>
      </c>
      <c r="D1211" s="1">
        <v>44433</v>
      </c>
      <c r="E1211">
        <v>71002</v>
      </c>
    </row>
    <row r="1212" spans="1:7" x14ac:dyDescent="0.25">
      <c r="A1212">
        <v>9661</v>
      </c>
      <c r="B1212" t="s">
        <v>307</v>
      </c>
      <c r="C1212" s="1">
        <v>44434</v>
      </c>
      <c r="D1212" s="1">
        <v>44826</v>
      </c>
      <c r="E1212">
        <v>70858</v>
      </c>
      <c r="F1212">
        <v>34529</v>
      </c>
      <c r="G1212">
        <v>36329</v>
      </c>
    </row>
    <row r="1213" spans="1:7" x14ac:dyDescent="0.25">
      <c r="A1213">
        <v>9661</v>
      </c>
      <c r="B1213" t="s">
        <v>307</v>
      </c>
      <c r="C1213" s="1">
        <v>44827</v>
      </c>
      <c r="D1213" s="1">
        <v>117974</v>
      </c>
      <c r="E1213">
        <v>71381</v>
      </c>
      <c r="F1213">
        <v>34822</v>
      </c>
      <c r="G1213">
        <v>36559</v>
      </c>
    </row>
    <row r="1214" spans="1:7" x14ac:dyDescent="0.25">
      <c r="A1214">
        <v>9662</v>
      </c>
      <c r="B1214" t="s">
        <v>308</v>
      </c>
      <c r="C1214" s="1">
        <v>43831</v>
      </c>
      <c r="D1214" s="1">
        <v>44111</v>
      </c>
      <c r="E1214">
        <v>54032</v>
      </c>
    </row>
    <row r="1215" spans="1:7" x14ac:dyDescent="0.25">
      <c r="A1215">
        <v>9662</v>
      </c>
      <c r="B1215" t="s">
        <v>308</v>
      </c>
      <c r="C1215" s="1">
        <v>44112</v>
      </c>
      <c r="D1215" s="1">
        <v>44433</v>
      </c>
      <c r="E1215">
        <v>53426</v>
      </c>
    </row>
    <row r="1216" spans="1:7" x14ac:dyDescent="0.25">
      <c r="A1216">
        <v>9662</v>
      </c>
      <c r="B1216" t="s">
        <v>308</v>
      </c>
      <c r="C1216" s="1">
        <v>44434</v>
      </c>
      <c r="D1216" s="1">
        <v>44826</v>
      </c>
      <c r="E1216">
        <v>53319</v>
      </c>
      <c r="F1216">
        <v>26185</v>
      </c>
      <c r="G1216">
        <v>27134</v>
      </c>
    </row>
    <row r="1217" spans="1:7" x14ac:dyDescent="0.25">
      <c r="A1217">
        <v>9662</v>
      </c>
      <c r="B1217" t="s">
        <v>308</v>
      </c>
      <c r="C1217" s="1">
        <v>44827</v>
      </c>
      <c r="D1217" s="1">
        <v>117974</v>
      </c>
      <c r="E1217">
        <v>53585</v>
      </c>
      <c r="F1217">
        <v>26451</v>
      </c>
      <c r="G1217">
        <v>27134</v>
      </c>
    </row>
    <row r="1218" spans="1:7" x14ac:dyDescent="0.25">
      <c r="A1218">
        <v>9663</v>
      </c>
      <c r="B1218" t="s">
        <v>309</v>
      </c>
      <c r="C1218" s="1">
        <v>43831</v>
      </c>
      <c r="D1218" s="1">
        <v>44111</v>
      </c>
      <c r="E1218">
        <v>127880</v>
      </c>
    </row>
    <row r="1219" spans="1:7" x14ac:dyDescent="0.25">
      <c r="A1219">
        <v>9663</v>
      </c>
      <c r="B1219" t="s">
        <v>309</v>
      </c>
      <c r="C1219" s="1">
        <v>44112</v>
      </c>
      <c r="D1219" s="1">
        <v>44433</v>
      </c>
      <c r="E1219">
        <v>127934</v>
      </c>
    </row>
    <row r="1220" spans="1:7" x14ac:dyDescent="0.25">
      <c r="A1220">
        <v>9663</v>
      </c>
      <c r="B1220" t="s">
        <v>309</v>
      </c>
      <c r="C1220" s="1">
        <v>44434</v>
      </c>
      <c r="D1220" s="1">
        <v>44826</v>
      </c>
      <c r="E1220">
        <v>126954</v>
      </c>
      <c r="F1220">
        <v>60725</v>
      </c>
      <c r="G1220">
        <v>66229</v>
      </c>
    </row>
    <row r="1221" spans="1:7" x14ac:dyDescent="0.25">
      <c r="A1221">
        <v>9663</v>
      </c>
      <c r="B1221" t="s">
        <v>309</v>
      </c>
      <c r="C1221" s="1">
        <v>44827</v>
      </c>
      <c r="D1221" s="1">
        <v>117974</v>
      </c>
      <c r="E1221">
        <v>126933</v>
      </c>
      <c r="F1221">
        <v>60749</v>
      </c>
      <c r="G1221">
        <v>66184</v>
      </c>
    </row>
    <row r="1222" spans="1:7" x14ac:dyDescent="0.25">
      <c r="A1222">
        <v>9671</v>
      </c>
      <c r="B1222" t="s">
        <v>310</v>
      </c>
      <c r="C1222" s="1">
        <v>43831</v>
      </c>
      <c r="D1222" s="1">
        <v>44111</v>
      </c>
      <c r="E1222">
        <v>174208</v>
      </c>
    </row>
    <row r="1223" spans="1:7" x14ac:dyDescent="0.25">
      <c r="A1223">
        <v>9671</v>
      </c>
      <c r="B1223" t="s">
        <v>310</v>
      </c>
      <c r="C1223" s="1">
        <v>44112</v>
      </c>
      <c r="D1223" s="1">
        <v>44433</v>
      </c>
      <c r="E1223">
        <v>174200</v>
      </c>
    </row>
    <row r="1224" spans="1:7" x14ac:dyDescent="0.25">
      <c r="A1224">
        <v>9671</v>
      </c>
      <c r="B1224" t="s">
        <v>310</v>
      </c>
      <c r="C1224" s="1">
        <v>44434</v>
      </c>
      <c r="D1224" s="1">
        <v>44826</v>
      </c>
      <c r="E1224">
        <v>174658</v>
      </c>
      <c r="F1224">
        <v>86742</v>
      </c>
      <c r="G1224">
        <v>87916</v>
      </c>
    </row>
    <row r="1225" spans="1:7" x14ac:dyDescent="0.25">
      <c r="A1225">
        <v>9671</v>
      </c>
      <c r="B1225" t="s">
        <v>310</v>
      </c>
      <c r="C1225" s="1">
        <v>44827</v>
      </c>
      <c r="D1225" s="1">
        <v>117974</v>
      </c>
      <c r="E1225">
        <v>174965</v>
      </c>
      <c r="F1225">
        <v>86790</v>
      </c>
      <c r="G1225">
        <v>88175</v>
      </c>
    </row>
    <row r="1226" spans="1:7" x14ac:dyDescent="0.25">
      <c r="A1226">
        <v>9672</v>
      </c>
      <c r="B1226" t="s">
        <v>311</v>
      </c>
      <c r="C1226" s="1">
        <v>43831</v>
      </c>
      <c r="D1226" s="1">
        <v>44111</v>
      </c>
      <c r="E1226">
        <v>103218</v>
      </c>
    </row>
    <row r="1227" spans="1:7" x14ac:dyDescent="0.25">
      <c r="A1227">
        <v>9672</v>
      </c>
      <c r="B1227" t="s">
        <v>311</v>
      </c>
      <c r="C1227" s="1">
        <v>44112</v>
      </c>
      <c r="D1227" s="1">
        <v>44433</v>
      </c>
      <c r="E1227">
        <v>103235</v>
      </c>
    </row>
    <row r="1228" spans="1:7" x14ac:dyDescent="0.25">
      <c r="A1228">
        <v>9672</v>
      </c>
      <c r="B1228" t="s">
        <v>311</v>
      </c>
      <c r="C1228" s="1">
        <v>44434</v>
      </c>
      <c r="D1228" s="1">
        <v>44826</v>
      </c>
      <c r="E1228">
        <v>103169</v>
      </c>
      <c r="F1228">
        <v>50819</v>
      </c>
      <c r="G1228">
        <v>52350</v>
      </c>
    </row>
    <row r="1229" spans="1:7" x14ac:dyDescent="0.25">
      <c r="A1229">
        <v>9672</v>
      </c>
      <c r="B1229" t="s">
        <v>311</v>
      </c>
      <c r="C1229" s="1">
        <v>44827</v>
      </c>
      <c r="D1229" s="1">
        <v>117974</v>
      </c>
      <c r="E1229">
        <v>103454</v>
      </c>
      <c r="F1229">
        <v>50987</v>
      </c>
      <c r="G1229">
        <v>52467</v>
      </c>
    </row>
    <row r="1230" spans="1:7" x14ac:dyDescent="0.25">
      <c r="A1230">
        <v>9673</v>
      </c>
      <c r="B1230" t="s">
        <v>312</v>
      </c>
      <c r="C1230" s="1">
        <v>43831</v>
      </c>
      <c r="D1230" s="1">
        <v>44111</v>
      </c>
      <c r="E1230">
        <v>79690</v>
      </c>
    </row>
    <row r="1231" spans="1:7" x14ac:dyDescent="0.25">
      <c r="A1231">
        <v>9673</v>
      </c>
      <c r="B1231" t="s">
        <v>312</v>
      </c>
      <c r="C1231" s="1">
        <v>44112</v>
      </c>
      <c r="D1231" s="1">
        <v>44433</v>
      </c>
      <c r="E1231">
        <v>79635</v>
      </c>
    </row>
    <row r="1232" spans="1:7" x14ac:dyDescent="0.25">
      <c r="A1232">
        <v>9673</v>
      </c>
      <c r="B1232" t="s">
        <v>312</v>
      </c>
      <c r="C1232" s="1">
        <v>44434</v>
      </c>
      <c r="D1232" s="1">
        <v>44826</v>
      </c>
      <c r="E1232">
        <v>79510</v>
      </c>
      <c r="F1232">
        <v>39523</v>
      </c>
      <c r="G1232">
        <v>39987</v>
      </c>
    </row>
    <row r="1233" spans="1:7" x14ac:dyDescent="0.25">
      <c r="A1233">
        <v>9673</v>
      </c>
      <c r="B1233" t="s">
        <v>312</v>
      </c>
      <c r="C1233" s="1">
        <v>44827</v>
      </c>
      <c r="D1233" s="1">
        <v>117974</v>
      </c>
      <c r="E1233">
        <v>79376</v>
      </c>
      <c r="F1233">
        <v>39486</v>
      </c>
      <c r="G1233">
        <v>39890</v>
      </c>
    </row>
    <row r="1234" spans="1:7" x14ac:dyDescent="0.25">
      <c r="A1234">
        <v>9674</v>
      </c>
      <c r="B1234" t="s">
        <v>313</v>
      </c>
      <c r="C1234" s="1">
        <v>43831</v>
      </c>
      <c r="D1234" s="1">
        <v>44111</v>
      </c>
      <c r="E1234">
        <v>84599</v>
      </c>
    </row>
    <row r="1235" spans="1:7" x14ac:dyDescent="0.25">
      <c r="A1235">
        <v>9674</v>
      </c>
      <c r="B1235" t="s">
        <v>313</v>
      </c>
      <c r="C1235" s="1">
        <v>44112</v>
      </c>
      <c r="D1235" s="1">
        <v>44433</v>
      </c>
      <c r="E1235">
        <v>84384</v>
      </c>
    </row>
    <row r="1236" spans="1:7" x14ac:dyDescent="0.25">
      <c r="A1236">
        <v>9674</v>
      </c>
      <c r="B1236" t="s">
        <v>313</v>
      </c>
      <c r="C1236" s="1">
        <v>44434</v>
      </c>
      <c r="D1236" s="1">
        <v>44826</v>
      </c>
      <c r="E1236">
        <v>84275</v>
      </c>
      <c r="F1236">
        <v>42273</v>
      </c>
      <c r="G1236">
        <v>42002</v>
      </c>
    </row>
    <row r="1237" spans="1:7" x14ac:dyDescent="0.25">
      <c r="A1237">
        <v>9674</v>
      </c>
      <c r="B1237" t="s">
        <v>313</v>
      </c>
      <c r="C1237" s="1">
        <v>44827</v>
      </c>
      <c r="D1237" s="1">
        <v>117974</v>
      </c>
      <c r="E1237">
        <v>84284</v>
      </c>
      <c r="F1237">
        <v>42287</v>
      </c>
      <c r="G1237">
        <v>41997</v>
      </c>
    </row>
    <row r="1238" spans="1:7" x14ac:dyDescent="0.25">
      <c r="A1238">
        <v>9675</v>
      </c>
      <c r="B1238" t="s">
        <v>314</v>
      </c>
      <c r="C1238" s="1">
        <v>43831</v>
      </c>
      <c r="D1238" s="1">
        <v>44111</v>
      </c>
      <c r="E1238">
        <v>90909</v>
      </c>
    </row>
    <row r="1239" spans="1:7" x14ac:dyDescent="0.25">
      <c r="A1239">
        <v>9675</v>
      </c>
      <c r="B1239" t="s">
        <v>314</v>
      </c>
      <c r="C1239" s="1">
        <v>44112</v>
      </c>
      <c r="D1239" s="1">
        <v>44433</v>
      </c>
      <c r="E1239">
        <v>91155</v>
      </c>
    </row>
    <row r="1240" spans="1:7" x14ac:dyDescent="0.25">
      <c r="A1240">
        <v>9675</v>
      </c>
      <c r="B1240" t="s">
        <v>314</v>
      </c>
      <c r="C1240" s="1">
        <v>44434</v>
      </c>
      <c r="D1240" s="1">
        <v>44826</v>
      </c>
      <c r="E1240">
        <v>91696</v>
      </c>
      <c r="F1240">
        <v>46040</v>
      </c>
      <c r="G1240">
        <v>45656</v>
      </c>
    </row>
    <row r="1241" spans="1:7" x14ac:dyDescent="0.25">
      <c r="A1241">
        <v>9675</v>
      </c>
      <c r="B1241" t="s">
        <v>314</v>
      </c>
      <c r="C1241" s="1">
        <v>44827</v>
      </c>
      <c r="D1241" s="1">
        <v>117974</v>
      </c>
      <c r="E1241">
        <v>91980</v>
      </c>
      <c r="F1241">
        <v>46286</v>
      </c>
      <c r="G1241">
        <v>45694</v>
      </c>
    </row>
    <row r="1242" spans="1:7" x14ac:dyDescent="0.25">
      <c r="A1242">
        <v>9676</v>
      </c>
      <c r="B1242" t="s">
        <v>315</v>
      </c>
      <c r="C1242" s="1">
        <v>43831</v>
      </c>
      <c r="D1242" s="1">
        <v>44111</v>
      </c>
      <c r="E1242">
        <v>128756</v>
      </c>
    </row>
    <row r="1243" spans="1:7" x14ac:dyDescent="0.25">
      <c r="A1243">
        <v>9676</v>
      </c>
      <c r="B1243" t="s">
        <v>315</v>
      </c>
      <c r="C1243" s="1">
        <v>44112</v>
      </c>
      <c r="D1243" s="1">
        <v>44433</v>
      </c>
      <c r="E1243">
        <v>128743</v>
      </c>
    </row>
    <row r="1244" spans="1:7" x14ac:dyDescent="0.25">
      <c r="A1244">
        <v>9676</v>
      </c>
      <c r="B1244" t="s">
        <v>315</v>
      </c>
      <c r="C1244" s="1">
        <v>44434</v>
      </c>
      <c r="D1244" s="1">
        <v>44826</v>
      </c>
      <c r="E1244">
        <v>128743</v>
      </c>
      <c r="F1244">
        <v>64038</v>
      </c>
      <c r="G1244">
        <v>64705</v>
      </c>
    </row>
    <row r="1245" spans="1:7" x14ac:dyDescent="0.25">
      <c r="A1245">
        <v>9676</v>
      </c>
      <c r="B1245" t="s">
        <v>315</v>
      </c>
      <c r="C1245" s="1">
        <v>44827</v>
      </c>
      <c r="D1245" s="1">
        <v>117974</v>
      </c>
      <c r="E1245">
        <v>128782</v>
      </c>
      <c r="F1245">
        <v>64051</v>
      </c>
      <c r="G1245">
        <v>64731</v>
      </c>
    </row>
    <row r="1246" spans="1:7" x14ac:dyDescent="0.25">
      <c r="A1246">
        <v>9677</v>
      </c>
      <c r="B1246" t="s">
        <v>316</v>
      </c>
      <c r="C1246" s="1">
        <v>43831</v>
      </c>
      <c r="D1246" s="1">
        <v>44111</v>
      </c>
      <c r="E1246">
        <v>126365</v>
      </c>
    </row>
    <row r="1247" spans="1:7" x14ac:dyDescent="0.25">
      <c r="A1247">
        <v>9677</v>
      </c>
      <c r="B1247" t="s">
        <v>316</v>
      </c>
      <c r="C1247" s="1">
        <v>44112</v>
      </c>
      <c r="D1247" s="1">
        <v>44433</v>
      </c>
      <c r="E1247">
        <v>126158</v>
      </c>
    </row>
    <row r="1248" spans="1:7" x14ac:dyDescent="0.25">
      <c r="A1248">
        <v>9677</v>
      </c>
      <c r="B1248" t="s">
        <v>316</v>
      </c>
      <c r="C1248" s="1">
        <v>44434</v>
      </c>
      <c r="D1248" s="1">
        <v>44826</v>
      </c>
      <c r="E1248">
        <v>125976</v>
      </c>
      <c r="F1248">
        <v>62763</v>
      </c>
      <c r="G1248">
        <v>63213</v>
      </c>
    </row>
    <row r="1249" spans="1:7" x14ac:dyDescent="0.25">
      <c r="A1249">
        <v>9677</v>
      </c>
      <c r="B1249" t="s">
        <v>316</v>
      </c>
      <c r="C1249" s="1">
        <v>44827</v>
      </c>
      <c r="D1249" s="1">
        <v>117974</v>
      </c>
      <c r="E1249">
        <v>126105</v>
      </c>
      <c r="F1249">
        <v>62873</v>
      </c>
      <c r="G1249">
        <v>63232</v>
      </c>
    </row>
    <row r="1250" spans="1:7" x14ac:dyDescent="0.25">
      <c r="A1250">
        <v>9678</v>
      </c>
      <c r="B1250" t="s">
        <v>317</v>
      </c>
      <c r="C1250" s="1">
        <v>43831</v>
      </c>
      <c r="D1250" s="1">
        <v>44111</v>
      </c>
      <c r="E1250">
        <v>115106</v>
      </c>
    </row>
    <row r="1251" spans="1:7" x14ac:dyDescent="0.25">
      <c r="A1251">
        <v>9678</v>
      </c>
      <c r="B1251" t="s">
        <v>317</v>
      </c>
      <c r="C1251" s="1">
        <v>44112</v>
      </c>
      <c r="D1251" s="1">
        <v>44433</v>
      </c>
      <c r="E1251">
        <v>115445</v>
      </c>
    </row>
    <row r="1252" spans="1:7" x14ac:dyDescent="0.25">
      <c r="A1252">
        <v>9678</v>
      </c>
      <c r="B1252" t="s">
        <v>317</v>
      </c>
      <c r="C1252" s="1">
        <v>44434</v>
      </c>
      <c r="D1252" s="1">
        <v>44826</v>
      </c>
      <c r="E1252">
        <v>115652</v>
      </c>
      <c r="F1252">
        <v>58087</v>
      </c>
      <c r="G1252">
        <v>57565</v>
      </c>
    </row>
    <row r="1253" spans="1:7" x14ac:dyDescent="0.25">
      <c r="A1253">
        <v>9678</v>
      </c>
      <c r="B1253" t="s">
        <v>317</v>
      </c>
      <c r="C1253" s="1">
        <v>44827</v>
      </c>
      <c r="D1253" s="1">
        <v>117974</v>
      </c>
      <c r="E1253">
        <v>116134</v>
      </c>
      <c r="F1253">
        <v>58345</v>
      </c>
      <c r="G1253">
        <v>57789</v>
      </c>
    </row>
    <row r="1254" spans="1:7" x14ac:dyDescent="0.25">
      <c r="A1254">
        <v>9679</v>
      </c>
      <c r="B1254" t="s">
        <v>318</v>
      </c>
      <c r="C1254" s="1">
        <v>43831</v>
      </c>
      <c r="D1254" s="1">
        <v>44111</v>
      </c>
      <c r="E1254">
        <v>161834</v>
      </c>
    </row>
    <row r="1255" spans="1:7" x14ac:dyDescent="0.25">
      <c r="A1255">
        <v>9679</v>
      </c>
      <c r="B1255" t="s">
        <v>318</v>
      </c>
      <c r="C1255" s="1">
        <v>44112</v>
      </c>
      <c r="D1255" s="1">
        <v>44433</v>
      </c>
      <c r="E1255">
        <v>162302</v>
      </c>
    </row>
    <row r="1256" spans="1:7" x14ac:dyDescent="0.25">
      <c r="A1256">
        <v>9679</v>
      </c>
      <c r="B1256" t="s">
        <v>318</v>
      </c>
      <c r="C1256" s="1">
        <v>44434</v>
      </c>
      <c r="D1256" s="1">
        <v>44826</v>
      </c>
      <c r="E1256">
        <v>162697</v>
      </c>
      <c r="F1256">
        <v>80908</v>
      </c>
      <c r="G1256">
        <v>81789</v>
      </c>
    </row>
    <row r="1257" spans="1:7" x14ac:dyDescent="0.25">
      <c r="A1257">
        <v>9679</v>
      </c>
      <c r="B1257" t="s">
        <v>318</v>
      </c>
      <c r="C1257" s="1">
        <v>44827</v>
      </c>
      <c r="D1257" s="1">
        <v>117974</v>
      </c>
      <c r="E1257">
        <v>163534</v>
      </c>
      <c r="F1257">
        <v>81233</v>
      </c>
      <c r="G1257">
        <v>82301</v>
      </c>
    </row>
    <row r="1258" spans="1:7" x14ac:dyDescent="0.25">
      <c r="A1258">
        <v>9761</v>
      </c>
      <c r="B1258" t="s">
        <v>319</v>
      </c>
      <c r="C1258" s="1">
        <v>43831</v>
      </c>
      <c r="D1258" s="1">
        <v>44111</v>
      </c>
      <c r="E1258">
        <v>295135</v>
      </c>
    </row>
    <row r="1259" spans="1:7" x14ac:dyDescent="0.25">
      <c r="A1259">
        <v>9761</v>
      </c>
      <c r="B1259" t="s">
        <v>319</v>
      </c>
      <c r="C1259" s="1">
        <v>44112</v>
      </c>
      <c r="D1259" s="1">
        <v>44433</v>
      </c>
      <c r="E1259">
        <v>296582</v>
      </c>
    </row>
    <row r="1260" spans="1:7" x14ac:dyDescent="0.25">
      <c r="A1260">
        <v>9761</v>
      </c>
      <c r="B1260" t="s">
        <v>319</v>
      </c>
      <c r="C1260" s="1">
        <v>44434</v>
      </c>
      <c r="D1260" s="1">
        <v>44826</v>
      </c>
      <c r="E1260">
        <v>295830</v>
      </c>
      <c r="F1260">
        <v>145786</v>
      </c>
      <c r="G1260">
        <v>150044</v>
      </c>
    </row>
    <row r="1261" spans="1:7" x14ac:dyDescent="0.25">
      <c r="A1261">
        <v>9761</v>
      </c>
      <c r="B1261" t="s">
        <v>319</v>
      </c>
      <c r="C1261" s="1">
        <v>44827</v>
      </c>
      <c r="D1261" s="1">
        <v>117974</v>
      </c>
      <c r="E1261">
        <v>296478</v>
      </c>
      <c r="F1261">
        <v>146234</v>
      </c>
      <c r="G1261">
        <v>150244</v>
      </c>
    </row>
    <row r="1262" spans="1:7" x14ac:dyDescent="0.25">
      <c r="A1262">
        <v>9762</v>
      </c>
      <c r="B1262" t="s">
        <v>320</v>
      </c>
      <c r="C1262" s="1">
        <v>43831</v>
      </c>
      <c r="D1262" s="1">
        <v>44111</v>
      </c>
      <c r="E1262">
        <v>43893</v>
      </c>
    </row>
    <row r="1263" spans="1:7" x14ac:dyDescent="0.25">
      <c r="A1263">
        <v>9762</v>
      </c>
      <c r="B1263" t="s">
        <v>320</v>
      </c>
      <c r="C1263" s="1">
        <v>44112</v>
      </c>
      <c r="D1263" s="1">
        <v>44433</v>
      </c>
      <c r="E1263">
        <v>44398</v>
      </c>
    </row>
    <row r="1264" spans="1:7" x14ac:dyDescent="0.25">
      <c r="A1264">
        <v>9762</v>
      </c>
      <c r="B1264" t="s">
        <v>320</v>
      </c>
      <c r="C1264" s="1">
        <v>44434</v>
      </c>
      <c r="D1264" s="1">
        <v>44826</v>
      </c>
      <c r="E1264">
        <v>44662</v>
      </c>
      <c r="F1264">
        <v>22005</v>
      </c>
      <c r="G1264">
        <v>22657</v>
      </c>
    </row>
    <row r="1265" spans="1:7" x14ac:dyDescent="0.25">
      <c r="A1265">
        <v>9762</v>
      </c>
      <c r="B1265" t="s">
        <v>320</v>
      </c>
      <c r="C1265" s="1">
        <v>44827</v>
      </c>
      <c r="D1265" s="1">
        <v>117974</v>
      </c>
      <c r="E1265">
        <v>45118</v>
      </c>
      <c r="F1265">
        <v>22229</v>
      </c>
      <c r="G1265">
        <v>22889</v>
      </c>
    </row>
    <row r="1266" spans="1:7" x14ac:dyDescent="0.25">
      <c r="A1266">
        <v>9763</v>
      </c>
      <c r="B1266" t="s">
        <v>321</v>
      </c>
      <c r="C1266" s="1">
        <v>43831</v>
      </c>
      <c r="D1266" s="1">
        <v>44111</v>
      </c>
      <c r="E1266">
        <v>68907</v>
      </c>
    </row>
    <row r="1267" spans="1:7" x14ac:dyDescent="0.25">
      <c r="A1267">
        <v>9763</v>
      </c>
      <c r="B1267" t="s">
        <v>321</v>
      </c>
      <c r="C1267" s="1">
        <v>44112</v>
      </c>
      <c r="D1267" s="1">
        <v>44433</v>
      </c>
      <c r="E1267">
        <v>69151</v>
      </c>
    </row>
    <row r="1268" spans="1:7" x14ac:dyDescent="0.25">
      <c r="A1268">
        <v>9763</v>
      </c>
      <c r="B1268" t="s">
        <v>321</v>
      </c>
      <c r="C1268" s="1">
        <v>44434</v>
      </c>
      <c r="D1268" s="1">
        <v>44826</v>
      </c>
      <c r="E1268">
        <v>68940</v>
      </c>
      <c r="F1268">
        <v>34140</v>
      </c>
      <c r="G1268">
        <v>34800</v>
      </c>
    </row>
    <row r="1269" spans="1:7" x14ac:dyDescent="0.25">
      <c r="A1269">
        <v>9763</v>
      </c>
      <c r="B1269" t="s">
        <v>321</v>
      </c>
      <c r="C1269" s="1">
        <v>44827</v>
      </c>
      <c r="D1269" s="1">
        <v>117974</v>
      </c>
      <c r="E1269">
        <v>69053</v>
      </c>
      <c r="F1269">
        <v>34240</v>
      </c>
      <c r="G1269">
        <v>34813</v>
      </c>
    </row>
    <row r="1270" spans="1:7" x14ac:dyDescent="0.25">
      <c r="A1270">
        <v>9764</v>
      </c>
      <c r="B1270" t="s">
        <v>322</v>
      </c>
      <c r="C1270" s="1">
        <v>43831</v>
      </c>
      <c r="D1270" s="1">
        <v>44111</v>
      </c>
      <c r="E1270">
        <v>43837</v>
      </c>
    </row>
    <row r="1271" spans="1:7" x14ac:dyDescent="0.25">
      <c r="A1271">
        <v>9764</v>
      </c>
      <c r="B1271" t="s">
        <v>322</v>
      </c>
      <c r="C1271" s="1">
        <v>44112</v>
      </c>
      <c r="D1271" s="1">
        <v>44433</v>
      </c>
      <c r="E1271">
        <v>44100</v>
      </c>
    </row>
    <row r="1272" spans="1:7" x14ac:dyDescent="0.25">
      <c r="A1272">
        <v>9764</v>
      </c>
      <c r="B1272" t="s">
        <v>322</v>
      </c>
      <c r="C1272" s="1">
        <v>44434</v>
      </c>
      <c r="D1272" s="1">
        <v>44826</v>
      </c>
      <c r="E1272">
        <v>44360</v>
      </c>
      <c r="F1272">
        <v>21996</v>
      </c>
      <c r="G1272">
        <v>22364</v>
      </c>
    </row>
    <row r="1273" spans="1:7" x14ac:dyDescent="0.25">
      <c r="A1273">
        <v>9764</v>
      </c>
      <c r="B1273" t="s">
        <v>322</v>
      </c>
      <c r="C1273" s="1">
        <v>44827</v>
      </c>
      <c r="D1273" s="1">
        <v>117974</v>
      </c>
      <c r="E1273">
        <v>44721</v>
      </c>
      <c r="F1273">
        <v>22195</v>
      </c>
      <c r="G1273">
        <v>22526</v>
      </c>
    </row>
    <row r="1274" spans="1:7" x14ac:dyDescent="0.25">
      <c r="A1274">
        <v>9771</v>
      </c>
      <c r="B1274" t="s">
        <v>323</v>
      </c>
      <c r="C1274" s="1">
        <v>43831</v>
      </c>
      <c r="D1274" s="1">
        <v>44111</v>
      </c>
      <c r="E1274">
        <v>133596</v>
      </c>
    </row>
    <row r="1275" spans="1:7" x14ac:dyDescent="0.25">
      <c r="A1275">
        <v>9771</v>
      </c>
      <c r="B1275" t="s">
        <v>323</v>
      </c>
      <c r="C1275" s="1">
        <v>44112</v>
      </c>
      <c r="D1275" s="1">
        <v>44433</v>
      </c>
      <c r="E1275">
        <v>134655</v>
      </c>
    </row>
    <row r="1276" spans="1:7" x14ac:dyDescent="0.25">
      <c r="A1276">
        <v>9771</v>
      </c>
      <c r="B1276" t="s">
        <v>323</v>
      </c>
      <c r="C1276" s="1">
        <v>44434</v>
      </c>
      <c r="D1276" s="1">
        <v>44826</v>
      </c>
      <c r="E1276">
        <v>135024</v>
      </c>
      <c r="F1276">
        <v>67349</v>
      </c>
      <c r="G1276">
        <v>67675</v>
      </c>
    </row>
    <row r="1277" spans="1:7" x14ac:dyDescent="0.25">
      <c r="A1277">
        <v>9771</v>
      </c>
      <c r="B1277" t="s">
        <v>323</v>
      </c>
      <c r="C1277" s="1">
        <v>44827</v>
      </c>
      <c r="D1277" s="1">
        <v>117974</v>
      </c>
      <c r="E1277">
        <v>135538</v>
      </c>
      <c r="F1277">
        <v>67418</v>
      </c>
      <c r="G1277">
        <v>68120</v>
      </c>
    </row>
    <row r="1278" spans="1:7" x14ac:dyDescent="0.25">
      <c r="A1278">
        <v>9772</v>
      </c>
      <c r="B1278" t="s">
        <v>324</v>
      </c>
      <c r="C1278" s="1">
        <v>43831</v>
      </c>
      <c r="D1278" s="1">
        <v>44111</v>
      </c>
      <c r="E1278">
        <v>251534</v>
      </c>
    </row>
    <row r="1279" spans="1:7" x14ac:dyDescent="0.25">
      <c r="A1279">
        <v>9772</v>
      </c>
      <c r="B1279" t="s">
        <v>324</v>
      </c>
      <c r="C1279" s="1">
        <v>44112</v>
      </c>
      <c r="D1279" s="1">
        <v>44433</v>
      </c>
      <c r="E1279">
        <v>253468</v>
      </c>
    </row>
    <row r="1280" spans="1:7" x14ac:dyDescent="0.25">
      <c r="A1280">
        <v>9772</v>
      </c>
      <c r="B1280" t="s">
        <v>324</v>
      </c>
      <c r="C1280" s="1">
        <v>44434</v>
      </c>
      <c r="D1280" s="1">
        <v>44826</v>
      </c>
      <c r="E1280">
        <v>255900</v>
      </c>
      <c r="F1280">
        <v>126953</v>
      </c>
      <c r="G1280">
        <v>128947</v>
      </c>
    </row>
    <row r="1281" spans="1:7" x14ac:dyDescent="0.25">
      <c r="A1281">
        <v>9772</v>
      </c>
      <c r="B1281" t="s">
        <v>324</v>
      </c>
      <c r="C1281" s="1">
        <v>44827</v>
      </c>
      <c r="D1281" s="1">
        <v>117974</v>
      </c>
      <c r="E1281">
        <v>257790</v>
      </c>
      <c r="F1281">
        <v>127849</v>
      </c>
      <c r="G1281">
        <v>129941</v>
      </c>
    </row>
    <row r="1282" spans="1:7" x14ac:dyDescent="0.25">
      <c r="A1282">
        <v>9773</v>
      </c>
      <c r="B1282" t="s">
        <v>325</v>
      </c>
      <c r="C1282" s="1">
        <v>43831</v>
      </c>
      <c r="D1282" s="1">
        <v>44111</v>
      </c>
      <c r="E1282">
        <v>96021</v>
      </c>
    </row>
    <row r="1283" spans="1:7" x14ac:dyDescent="0.25">
      <c r="A1283">
        <v>9773</v>
      </c>
      <c r="B1283" t="s">
        <v>325</v>
      </c>
      <c r="C1283" s="1">
        <v>44112</v>
      </c>
      <c r="D1283" s="1">
        <v>44433</v>
      </c>
      <c r="E1283">
        <v>96562</v>
      </c>
    </row>
    <row r="1284" spans="1:7" x14ac:dyDescent="0.25">
      <c r="A1284">
        <v>9773</v>
      </c>
      <c r="B1284" t="s">
        <v>325</v>
      </c>
      <c r="C1284" s="1">
        <v>44434</v>
      </c>
      <c r="D1284" s="1">
        <v>44826</v>
      </c>
      <c r="E1284">
        <v>97172</v>
      </c>
      <c r="F1284">
        <v>48764</v>
      </c>
      <c r="G1284">
        <v>48408</v>
      </c>
    </row>
    <row r="1285" spans="1:7" x14ac:dyDescent="0.25">
      <c r="A1285">
        <v>9773</v>
      </c>
      <c r="B1285" t="s">
        <v>325</v>
      </c>
      <c r="C1285" s="1">
        <v>44827</v>
      </c>
      <c r="D1285" s="1">
        <v>117974</v>
      </c>
      <c r="E1285">
        <v>97985</v>
      </c>
      <c r="F1285">
        <v>49123</v>
      </c>
      <c r="G1285">
        <v>48862</v>
      </c>
    </row>
    <row r="1286" spans="1:7" x14ac:dyDescent="0.25">
      <c r="A1286">
        <v>9774</v>
      </c>
      <c r="B1286" t="s">
        <v>326</v>
      </c>
      <c r="C1286" s="1">
        <v>43831</v>
      </c>
      <c r="D1286" s="1">
        <v>44111</v>
      </c>
      <c r="E1286">
        <v>125747</v>
      </c>
    </row>
    <row r="1287" spans="1:7" x14ac:dyDescent="0.25">
      <c r="A1287">
        <v>9774</v>
      </c>
      <c r="B1287" t="s">
        <v>326</v>
      </c>
      <c r="C1287" s="1">
        <v>44112</v>
      </c>
      <c r="D1287" s="1">
        <v>44433</v>
      </c>
      <c r="E1287">
        <v>127027</v>
      </c>
    </row>
    <row r="1288" spans="1:7" x14ac:dyDescent="0.25">
      <c r="A1288">
        <v>9774</v>
      </c>
      <c r="B1288" t="s">
        <v>326</v>
      </c>
      <c r="C1288" s="1">
        <v>44434</v>
      </c>
      <c r="D1288" s="1">
        <v>44826</v>
      </c>
      <c r="E1288">
        <v>127342</v>
      </c>
      <c r="F1288">
        <v>64254</v>
      </c>
      <c r="G1288">
        <v>63088</v>
      </c>
    </row>
    <row r="1289" spans="1:7" x14ac:dyDescent="0.25">
      <c r="A1289">
        <v>9774</v>
      </c>
      <c r="B1289" t="s">
        <v>326</v>
      </c>
      <c r="C1289" s="1">
        <v>44827</v>
      </c>
      <c r="D1289" s="1">
        <v>117974</v>
      </c>
      <c r="E1289">
        <v>128436</v>
      </c>
      <c r="F1289">
        <v>64872</v>
      </c>
      <c r="G1289">
        <v>63564</v>
      </c>
    </row>
    <row r="1290" spans="1:7" x14ac:dyDescent="0.25">
      <c r="A1290">
        <v>9775</v>
      </c>
      <c r="B1290" t="s">
        <v>327</v>
      </c>
      <c r="C1290" s="1">
        <v>43831</v>
      </c>
      <c r="D1290" s="1">
        <v>44111</v>
      </c>
      <c r="E1290">
        <v>174200</v>
      </c>
    </row>
    <row r="1291" spans="1:7" x14ac:dyDescent="0.25">
      <c r="A1291">
        <v>9775</v>
      </c>
      <c r="B1291" t="s">
        <v>327</v>
      </c>
      <c r="C1291" s="1">
        <v>44112</v>
      </c>
      <c r="D1291" s="1">
        <v>44433</v>
      </c>
      <c r="E1291">
        <v>175204</v>
      </c>
    </row>
    <row r="1292" spans="1:7" x14ac:dyDescent="0.25">
      <c r="A1292">
        <v>9775</v>
      </c>
      <c r="B1292" t="s">
        <v>327</v>
      </c>
      <c r="C1292" s="1">
        <v>44434</v>
      </c>
      <c r="D1292" s="1">
        <v>44826</v>
      </c>
      <c r="E1292">
        <v>175823</v>
      </c>
      <c r="F1292">
        <v>87031</v>
      </c>
      <c r="G1292">
        <v>88792</v>
      </c>
    </row>
    <row r="1293" spans="1:7" x14ac:dyDescent="0.25">
      <c r="A1293">
        <v>9775</v>
      </c>
      <c r="B1293" t="s">
        <v>327</v>
      </c>
      <c r="C1293" s="1">
        <v>44827</v>
      </c>
      <c r="D1293" s="1">
        <v>117974</v>
      </c>
      <c r="E1293">
        <v>177330</v>
      </c>
      <c r="F1293">
        <v>88007</v>
      </c>
      <c r="G1293">
        <v>89323</v>
      </c>
    </row>
    <row r="1294" spans="1:7" x14ac:dyDescent="0.25">
      <c r="A1294">
        <v>9776</v>
      </c>
      <c r="B1294" t="s">
        <v>328</v>
      </c>
      <c r="C1294" s="1">
        <v>43831</v>
      </c>
      <c r="D1294" s="1">
        <v>44111</v>
      </c>
      <c r="E1294">
        <v>81669</v>
      </c>
    </row>
    <row r="1295" spans="1:7" x14ac:dyDescent="0.25">
      <c r="A1295">
        <v>9776</v>
      </c>
      <c r="B1295" t="s">
        <v>328</v>
      </c>
      <c r="C1295" s="1">
        <v>44112</v>
      </c>
      <c r="D1295" s="1">
        <v>44433</v>
      </c>
      <c r="E1295">
        <v>81981</v>
      </c>
    </row>
    <row r="1296" spans="1:7" x14ac:dyDescent="0.25">
      <c r="A1296">
        <v>9776</v>
      </c>
      <c r="B1296" t="s">
        <v>328</v>
      </c>
      <c r="C1296" s="1">
        <v>44434</v>
      </c>
      <c r="D1296" s="1">
        <v>44826</v>
      </c>
      <c r="E1296">
        <v>82085</v>
      </c>
      <c r="F1296">
        <v>40472</v>
      </c>
      <c r="G1296">
        <v>41613</v>
      </c>
    </row>
    <row r="1297" spans="1:7" x14ac:dyDescent="0.25">
      <c r="A1297">
        <v>9776</v>
      </c>
      <c r="B1297" t="s">
        <v>328</v>
      </c>
      <c r="C1297" s="1">
        <v>44827</v>
      </c>
      <c r="D1297" s="1">
        <v>117974</v>
      </c>
      <c r="E1297">
        <v>82330</v>
      </c>
      <c r="F1297">
        <v>40613</v>
      </c>
      <c r="G1297">
        <v>41717</v>
      </c>
    </row>
    <row r="1298" spans="1:7" x14ac:dyDescent="0.25">
      <c r="A1298">
        <v>9777</v>
      </c>
      <c r="B1298" t="s">
        <v>329</v>
      </c>
      <c r="C1298" s="1">
        <v>43831</v>
      </c>
      <c r="D1298" s="1">
        <v>44111</v>
      </c>
      <c r="E1298">
        <v>140316</v>
      </c>
    </row>
    <row r="1299" spans="1:7" x14ac:dyDescent="0.25">
      <c r="A1299">
        <v>9777</v>
      </c>
      <c r="B1299" t="s">
        <v>329</v>
      </c>
      <c r="C1299" s="1">
        <v>44112</v>
      </c>
      <c r="D1299" s="1">
        <v>44433</v>
      </c>
      <c r="E1299">
        <v>141182</v>
      </c>
    </row>
    <row r="1300" spans="1:7" x14ac:dyDescent="0.25">
      <c r="A1300">
        <v>9777</v>
      </c>
      <c r="B1300" t="s">
        <v>329</v>
      </c>
      <c r="C1300" s="1">
        <v>44434</v>
      </c>
      <c r="D1300" s="1">
        <v>44826</v>
      </c>
      <c r="E1300">
        <v>141907</v>
      </c>
      <c r="F1300">
        <v>70780</v>
      </c>
      <c r="G1300">
        <v>71127</v>
      </c>
    </row>
    <row r="1301" spans="1:7" x14ac:dyDescent="0.25">
      <c r="A1301">
        <v>9777</v>
      </c>
      <c r="B1301" t="s">
        <v>329</v>
      </c>
      <c r="C1301" s="1">
        <v>44827</v>
      </c>
      <c r="D1301" s="1">
        <v>117974</v>
      </c>
      <c r="E1301">
        <v>143236</v>
      </c>
      <c r="F1301">
        <v>71432</v>
      </c>
      <c r="G1301">
        <v>71804</v>
      </c>
    </row>
    <row r="1302" spans="1:7" x14ac:dyDescent="0.25">
      <c r="A1302">
        <v>9778</v>
      </c>
      <c r="B1302" t="s">
        <v>330</v>
      </c>
      <c r="C1302" s="1">
        <v>43831</v>
      </c>
      <c r="D1302" s="1">
        <v>44111</v>
      </c>
      <c r="E1302">
        <v>144041</v>
      </c>
    </row>
    <row r="1303" spans="1:7" x14ac:dyDescent="0.25">
      <c r="A1303">
        <v>9778</v>
      </c>
      <c r="B1303" t="s">
        <v>330</v>
      </c>
      <c r="C1303" s="1">
        <v>44112</v>
      </c>
      <c r="D1303" s="1">
        <v>44433</v>
      </c>
      <c r="E1303">
        <v>145341</v>
      </c>
    </row>
    <row r="1304" spans="1:7" x14ac:dyDescent="0.25">
      <c r="A1304">
        <v>9778</v>
      </c>
      <c r="B1304" t="s">
        <v>330</v>
      </c>
      <c r="C1304" s="1">
        <v>44434</v>
      </c>
      <c r="D1304" s="1">
        <v>44826</v>
      </c>
      <c r="E1304">
        <v>146164</v>
      </c>
      <c r="F1304">
        <v>73644</v>
      </c>
      <c r="G1304">
        <v>72520</v>
      </c>
    </row>
    <row r="1305" spans="1:7" x14ac:dyDescent="0.25">
      <c r="A1305">
        <v>9778</v>
      </c>
      <c r="B1305" t="s">
        <v>330</v>
      </c>
      <c r="C1305" s="1">
        <v>44827</v>
      </c>
      <c r="D1305" s="1">
        <v>117974</v>
      </c>
      <c r="E1305">
        <v>147776</v>
      </c>
      <c r="F1305">
        <v>74634</v>
      </c>
      <c r="G1305">
        <v>73142</v>
      </c>
    </row>
    <row r="1306" spans="1:7" x14ac:dyDescent="0.25">
      <c r="A1306">
        <v>9779</v>
      </c>
      <c r="B1306" t="s">
        <v>331</v>
      </c>
      <c r="C1306" s="1">
        <v>43831</v>
      </c>
      <c r="D1306" s="1">
        <v>44111</v>
      </c>
      <c r="E1306">
        <v>133496</v>
      </c>
    </row>
    <row r="1307" spans="1:7" x14ac:dyDescent="0.25">
      <c r="A1307">
        <v>9779</v>
      </c>
      <c r="B1307" t="s">
        <v>331</v>
      </c>
      <c r="C1307" s="1">
        <v>44112</v>
      </c>
      <c r="D1307" s="1">
        <v>44433</v>
      </c>
      <c r="E1307">
        <v>133783</v>
      </c>
    </row>
    <row r="1308" spans="1:7" x14ac:dyDescent="0.25">
      <c r="A1308">
        <v>9779</v>
      </c>
      <c r="B1308" t="s">
        <v>331</v>
      </c>
      <c r="C1308" s="1">
        <v>44434</v>
      </c>
      <c r="D1308" s="1">
        <v>44826</v>
      </c>
      <c r="E1308">
        <v>134324</v>
      </c>
      <c r="F1308">
        <v>68098</v>
      </c>
      <c r="G1308">
        <v>66226</v>
      </c>
    </row>
    <row r="1309" spans="1:7" x14ac:dyDescent="0.25">
      <c r="A1309">
        <v>9779</v>
      </c>
      <c r="B1309" t="s">
        <v>331</v>
      </c>
      <c r="C1309" s="1">
        <v>44827</v>
      </c>
      <c r="D1309" s="1">
        <v>117974</v>
      </c>
      <c r="E1309">
        <v>134986</v>
      </c>
      <c r="F1309">
        <v>68516</v>
      </c>
      <c r="G1309">
        <v>66470</v>
      </c>
    </row>
    <row r="1310" spans="1:7" x14ac:dyDescent="0.25">
      <c r="A1310">
        <v>9780</v>
      </c>
      <c r="B1310" t="s">
        <v>332</v>
      </c>
      <c r="C1310" s="1">
        <v>43831</v>
      </c>
      <c r="D1310" s="1">
        <v>44111</v>
      </c>
      <c r="E1310">
        <v>155362</v>
      </c>
    </row>
    <row r="1311" spans="1:7" x14ac:dyDescent="0.25">
      <c r="A1311">
        <v>9780</v>
      </c>
      <c r="B1311" t="s">
        <v>332</v>
      </c>
      <c r="C1311" s="1">
        <v>44112</v>
      </c>
      <c r="D1311" s="1">
        <v>44433</v>
      </c>
      <c r="E1311">
        <v>156008</v>
      </c>
    </row>
    <row r="1312" spans="1:7" x14ac:dyDescent="0.25">
      <c r="A1312">
        <v>9780</v>
      </c>
      <c r="B1312" t="s">
        <v>332</v>
      </c>
      <c r="C1312" s="1">
        <v>44434</v>
      </c>
      <c r="D1312" s="1">
        <v>44826</v>
      </c>
      <c r="E1312">
        <v>156308</v>
      </c>
      <c r="F1312">
        <v>76957</v>
      </c>
      <c r="G1312">
        <v>79351</v>
      </c>
    </row>
    <row r="1313" spans="1:7" x14ac:dyDescent="0.25">
      <c r="A1313">
        <v>9780</v>
      </c>
      <c r="B1313" t="s">
        <v>332</v>
      </c>
      <c r="C1313" s="1">
        <v>44827</v>
      </c>
      <c r="D1313" s="1">
        <v>117974</v>
      </c>
      <c r="E1313">
        <v>157202</v>
      </c>
      <c r="F1313">
        <v>77429</v>
      </c>
      <c r="G1313">
        <v>79773</v>
      </c>
    </row>
    <row r="1314" spans="1:7" x14ac:dyDescent="0.25">
      <c r="A1314">
        <v>10</v>
      </c>
      <c r="B1314" t="s">
        <v>333</v>
      </c>
      <c r="C1314" s="1">
        <v>43831</v>
      </c>
      <c r="D1314" s="1">
        <v>44111</v>
      </c>
      <c r="E1314">
        <v>990509</v>
      </c>
    </row>
    <row r="1315" spans="1:7" x14ac:dyDescent="0.25">
      <c r="A1315">
        <v>10</v>
      </c>
      <c r="B1315" t="s">
        <v>333</v>
      </c>
      <c r="C1315" s="1">
        <v>44112</v>
      </c>
      <c r="D1315" s="1">
        <v>44433</v>
      </c>
      <c r="E1315">
        <v>986887</v>
      </c>
    </row>
    <row r="1316" spans="1:7" x14ac:dyDescent="0.25">
      <c r="A1316">
        <v>10</v>
      </c>
      <c r="B1316" t="s">
        <v>333</v>
      </c>
      <c r="C1316" s="1">
        <v>44434</v>
      </c>
      <c r="D1316" s="1">
        <v>44826</v>
      </c>
      <c r="E1316">
        <v>983991</v>
      </c>
      <c r="F1316">
        <v>483001</v>
      </c>
      <c r="G1316">
        <v>500990</v>
      </c>
    </row>
    <row r="1317" spans="1:7" x14ac:dyDescent="0.25">
      <c r="A1317">
        <v>10</v>
      </c>
      <c r="B1317" t="s">
        <v>333</v>
      </c>
      <c r="C1317" s="1">
        <v>44827</v>
      </c>
      <c r="D1317" s="1">
        <v>117974</v>
      </c>
      <c r="E1317">
        <v>982348</v>
      </c>
      <c r="F1317">
        <v>482439</v>
      </c>
      <c r="G1317">
        <v>499909</v>
      </c>
    </row>
    <row r="1318" spans="1:7" x14ac:dyDescent="0.25">
      <c r="A1318">
        <v>10041</v>
      </c>
      <c r="B1318" t="s">
        <v>334</v>
      </c>
      <c r="C1318" s="1">
        <v>43831</v>
      </c>
      <c r="D1318" s="1">
        <v>44111</v>
      </c>
      <c r="E1318">
        <v>329708</v>
      </c>
    </row>
    <row r="1319" spans="1:7" x14ac:dyDescent="0.25">
      <c r="A1319">
        <v>10041</v>
      </c>
      <c r="B1319" t="s">
        <v>334</v>
      </c>
      <c r="C1319" s="1">
        <v>44112</v>
      </c>
      <c r="D1319" s="1">
        <v>44433</v>
      </c>
      <c r="E1319">
        <v>328714</v>
      </c>
    </row>
    <row r="1320" spans="1:7" x14ac:dyDescent="0.25">
      <c r="A1320">
        <v>10041</v>
      </c>
      <c r="B1320" t="s">
        <v>334</v>
      </c>
      <c r="C1320" s="1">
        <v>44434</v>
      </c>
      <c r="D1320" s="1">
        <v>44826</v>
      </c>
      <c r="E1320">
        <v>327502</v>
      </c>
      <c r="F1320">
        <v>161076</v>
      </c>
      <c r="G1320">
        <v>166426</v>
      </c>
    </row>
    <row r="1321" spans="1:7" x14ac:dyDescent="0.25">
      <c r="A1321">
        <v>10041</v>
      </c>
      <c r="B1321" t="s">
        <v>334</v>
      </c>
      <c r="C1321" s="1">
        <v>44827</v>
      </c>
      <c r="D1321" s="1">
        <v>117974</v>
      </c>
      <c r="E1321">
        <v>327284</v>
      </c>
      <c r="F1321">
        <v>161143</v>
      </c>
      <c r="G1321">
        <v>166141</v>
      </c>
    </row>
    <row r="1322" spans="1:7" x14ac:dyDescent="0.25">
      <c r="A1322">
        <v>10042</v>
      </c>
      <c r="B1322" t="s">
        <v>335</v>
      </c>
      <c r="C1322" s="1">
        <v>43831</v>
      </c>
      <c r="D1322" s="1">
        <v>44111</v>
      </c>
      <c r="E1322">
        <v>103366</v>
      </c>
    </row>
    <row r="1323" spans="1:7" x14ac:dyDescent="0.25">
      <c r="A1323">
        <v>10042</v>
      </c>
      <c r="B1323" t="s">
        <v>335</v>
      </c>
      <c r="C1323" s="1">
        <v>44112</v>
      </c>
      <c r="D1323" s="1">
        <v>44433</v>
      </c>
      <c r="E1323">
        <v>103243</v>
      </c>
    </row>
    <row r="1324" spans="1:7" x14ac:dyDescent="0.25">
      <c r="A1324">
        <v>10042</v>
      </c>
      <c r="B1324" t="s">
        <v>335</v>
      </c>
      <c r="C1324" s="1">
        <v>44434</v>
      </c>
      <c r="D1324" s="1">
        <v>44826</v>
      </c>
      <c r="E1324">
        <v>103471</v>
      </c>
      <c r="F1324">
        <v>51096</v>
      </c>
      <c r="G1324">
        <v>52375</v>
      </c>
    </row>
    <row r="1325" spans="1:7" x14ac:dyDescent="0.25">
      <c r="A1325">
        <v>10042</v>
      </c>
      <c r="B1325" t="s">
        <v>335</v>
      </c>
      <c r="C1325" s="1">
        <v>44827</v>
      </c>
      <c r="D1325" s="1">
        <v>117974</v>
      </c>
      <c r="E1325">
        <v>103426</v>
      </c>
      <c r="F1325">
        <v>51089</v>
      </c>
      <c r="G1325">
        <v>52337</v>
      </c>
    </row>
    <row r="1326" spans="1:7" x14ac:dyDescent="0.25">
      <c r="A1326">
        <v>10043</v>
      </c>
      <c r="B1326" t="s">
        <v>336</v>
      </c>
      <c r="C1326" s="1">
        <v>43831</v>
      </c>
      <c r="D1326" s="1">
        <v>44111</v>
      </c>
      <c r="E1326">
        <v>132206</v>
      </c>
    </row>
    <row r="1327" spans="1:7" x14ac:dyDescent="0.25">
      <c r="A1327">
        <v>10043</v>
      </c>
      <c r="B1327" t="s">
        <v>336</v>
      </c>
      <c r="C1327" s="1">
        <v>44112</v>
      </c>
      <c r="D1327" s="1">
        <v>44433</v>
      </c>
      <c r="E1327">
        <v>131408</v>
      </c>
    </row>
    <row r="1328" spans="1:7" x14ac:dyDescent="0.25">
      <c r="A1328">
        <v>10043</v>
      </c>
      <c r="B1328" t="s">
        <v>336</v>
      </c>
      <c r="C1328" s="1">
        <v>44434</v>
      </c>
      <c r="D1328" s="1">
        <v>44826</v>
      </c>
      <c r="E1328">
        <v>131172</v>
      </c>
      <c r="F1328">
        <v>64441</v>
      </c>
      <c r="G1328">
        <v>66731</v>
      </c>
    </row>
    <row r="1329" spans="1:7" x14ac:dyDescent="0.25">
      <c r="A1329">
        <v>10043</v>
      </c>
      <c r="B1329" t="s">
        <v>336</v>
      </c>
      <c r="C1329" s="1">
        <v>44827</v>
      </c>
      <c r="D1329" s="1">
        <v>117974</v>
      </c>
      <c r="E1329">
        <v>130847</v>
      </c>
      <c r="F1329">
        <v>64423</v>
      </c>
      <c r="G1329">
        <v>66424</v>
      </c>
    </row>
    <row r="1330" spans="1:7" x14ac:dyDescent="0.25">
      <c r="A1330">
        <v>10044</v>
      </c>
      <c r="B1330" t="s">
        <v>337</v>
      </c>
      <c r="C1330" s="1">
        <v>43831</v>
      </c>
      <c r="D1330" s="1">
        <v>44111</v>
      </c>
      <c r="E1330">
        <v>195201</v>
      </c>
    </row>
    <row r="1331" spans="1:7" x14ac:dyDescent="0.25">
      <c r="A1331">
        <v>10044</v>
      </c>
      <c r="B1331" t="s">
        <v>337</v>
      </c>
      <c r="C1331" s="1">
        <v>44112</v>
      </c>
      <c r="D1331" s="1">
        <v>44433</v>
      </c>
      <c r="E1331">
        <v>194319</v>
      </c>
    </row>
    <row r="1332" spans="1:7" x14ac:dyDescent="0.25">
      <c r="A1332">
        <v>10044</v>
      </c>
      <c r="B1332" t="s">
        <v>337</v>
      </c>
      <c r="C1332" s="1">
        <v>44434</v>
      </c>
      <c r="D1332" s="1">
        <v>44826</v>
      </c>
      <c r="E1332">
        <v>193732</v>
      </c>
      <c r="F1332">
        <v>94934</v>
      </c>
      <c r="G1332">
        <v>98798</v>
      </c>
    </row>
    <row r="1333" spans="1:7" x14ac:dyDescent="0.25">
      <c r="A1333">
        <v>10044</v>
      </c>
      <c r="B1333" t="s">
        <v>337</v>
      </c>
      <c r="C1333" s="1">
        <v>44827</v>
      </c>
      <c r="D1333" s="1">
        <v>117974</v>
      </c>
      <c r="E1333">
        <v>193661</v>
      </c>
      <c r="F1333">
        <v>94857</v>
      </c>
      <c r="G1333">
        <v>98804</v>
      </c>
    </row>
    <row r="1334" spans="1:7" x14ac:dyDescent="0.25">
      <c r="A1334">
        <v>10045</v>
      </c>
      <c r="B1334" t="s">
        <v>338</v>
      </c>
      <c r="C1334" s="1">
        <v>43831</v>
      </c>
      <c r="D1334" s="1">
        <v>44111</v>
      </c>
      <c r="E1334">
        <v>142631</v>
      </c>
    </row>
    <row r="1335" spans="1:7" x14ac:dyDescent="0.25">
      <c r="A1335">
        <v>10045</v>
      </c>
      <c r="B1335" t="s">
        <v>338</v>
      </c>
      <c r="C1335" s="1">
        <v>44112</v>
      </c>
      <c r="D1335" s="1">
        <v>44433</v>
      </c>
      <c r="E1335">
        <v>142196</v>
      </c>
    </row>
    <row r="1336" spans="1:7" x14ac:dyDescent="0.25">
      <c r="A1336">
        <v>10045</v>
      </c>
      <c r="B1336" t="s">
        <v>338</v>
      </c>
      <c r="C1336" s="1">
        <v>44434</v>
      </c>
      <c r="D1336" s="1">
        <v>44826</v>
      </c>
      <c r="E1336">
        <v>141656</v>
      </c>
      <c r="F1336">
        <v>68857</v>
      </c>
      <c r="G1336">
        <v>72799</v>
      </c>
    </row>
    <row r="1337" spans="1:7" x14ac:dyDescent="0.25">
      <c r="A1337">
        <v>10045</v>
      </c>
      <c r="B1337" t="s">
        <v>338</v>
      </c>
      <c r="C1337" s="1">
        <v>44827</v>
      </c>
      <c r="D1337" s="1">
        <v>117974</v>
      </c>
      <c r="E1337">
        <v>140960</v>
      </c>
      <c r="F1337">
        <v>68529</v>
      </c>
      <c r="G1337">
        <v>72431</v>
      </c>
    </row>
    <row r="1338" spans="1:7" x14ac:dyDescent="0.25">
      <c r="A1338">
        <v>10046</v>
      </c>
      <c r="B1338" t="s">
        <v>339</v>
      </c>
      <c r="C1338" s="1">
        <v>43831</v>
      </c>
      <c r="D1338" s="1">
        <v>44111</v>
      </c>
      <c r="E1338">
        <v>87397</v>
      </c>
    </row>
    <row r="1339" spans="1:7" x14ac:dyDescent="0.25">
      <c r="A1339">
        <v>10046</v>
      </c>
      <c r="B1339" t="s">
        <v>339</v>
      </c>
      <c r="C1339" s="1">
        <v>44112</v>
      </c>
      <c r="D1339" s="1">
        <v>44433</v>
      </c>
      <c r="E1339">
        <v>87007</v>
      </c>
    </row>
    <row r="1340" spans="1:7" x14ac:dyDescent="0.25">
      <c r="A1340">
        <v>10046</v>
      </c>
      <c r="B1340" t="s">
        <v>339</v>
      </c>
      <c r="C1340" s="1">
        <v>44434</v>
      </c>
      <c r="D1340" s="1">
        <v>44826</v>
      </c>
      <c r="E1340">
        <v>86458</v>
      </c>
      <c r="F1340">
        <v>42597</v>
      </c>
      <c r="G1340">
        <v>43861</v>
      </c>
    </row>
    <row r="1341" spans="1:7" x14ac:dyDescent="0.25">
      <c r="A1341">
        <v>10046</v>
      </c>
      <c r="B1341" t="s">
        <v>339</v>
      </c>
      <c r="C1341" s="1">
        <v>44827</v>
      </c>
      <c r="D1341" s="1">
        <v>117974</v>
      </c>
      <c r="E1341">
        <v>86170</v>
      </c>
      <c r="F1341">
        <v>42398</v>
      </c>
      <c r="G1341">
        <v>43772</v>
      </c>
    </row>
    <row r="1342" spans="1:7" x14ac:dyDescent="0.25">
      <c r="A1342">
        <v>11</v>
      </c>
      <c r="B1342" t="s">
        <v>340</v>
      </c>
      <c r="C1342" s="1">
        <v>43831</v>
      </c>
      <c r="D1342" s="1">
        <v>44111</v>
      </c>
      <c r="E1342">
        <v>3748148</v>
      </c>
    </row>
    <row r="1343" spans="1:7" x14ac:dyDescent="0.25">
      <c r="A1343">
        <v>11</v>
      </c>
      <c r="B1343" t="s">
        <v>340</v>
      </c>
      <c r="C1343" s="1">
        <v>44112</v>
      </c>
      <c r="D1343" s="1">
        <v>44433</v>
      </c>
      <c r="E1343">
        <v>3669491</v>
      </c>
    </row>
    <row r="1344" spans="1:7" x14ac:dyDescent="0.25">
      <c r="A1344">
        <v>11</v>
      </c>
      <c r="B1344" t="s">
        <v>340</v>
      </c>
      <c r="C1344" s="1">
        <v>44434</v>
      </c>
      <c r="D1344" s="1">
        <v>44826</v>
      </c>
      <c r="E1344">
        <v>3664088</v>
      </c>
      <c r="F1344">
        <v>1802038</v>
      </c>
      <c r="G1344">
        <v>1862050</v>
      </c>
    </row>
    <row r="1345" spans="1:7" x14ac:dyDescent="0.25">
      <c r="A1345">
        <v>11</v>
      </c>
      <c r="B1345" t="s">
        <v>340</v>
      </c>
      <c r="C1345" s="1">
        <v>44827</v>
      </c>
      <c r="D1345" s="1">
        <v>117974</v>
      </c>
      <c r="E1345">
        <v>3677472</v>
      </c>
      <c r="F1345">
        <v>1807826</v>
      </c>
      <c r="G1345">
        <v>1869646</v>
      </c>
    </row>
    <row r="1346" spans="1:7" x14ac:dyDescent="0.25">
      <c r="A1346">
        <v>11001</v>
      </c>
      <c r="B1346" t="s">
        <v>341</v>
      </c>
      <c r="C1346" s="1">
        <v>43831</v>
      </c>
      <c r="D1346" s="1">
        <v>44111</v>
      </c>
      <c r="E1346">
        <v>383457</v>
      </c>
    </row>
    <row r="1347" spans="1:7" x14ac:dyDescent="0.25">
      <c r="A1347">
        <v>11001</v>
      </c>
      <c r="B1347" t="s">
        <v>341</v>
      </c>
      <c r="C1347" s="1">
        <v>44112</v>
      </c>
      <c r="D1347" s="1">
        <v>44433</v>
      </c>
      <c r="E1347">
        <v>375238</v>
      </c>
    </row>
    <row r="1348" spans="1:7" x14ac:dyDescent="0.25">
      <c r="A1348">
        <v>11001</v>
      </c>
      <c r="B1348" t="s">
        <v>341</v>
      </c>
      <c r="C1348" s="1">
        <v>44434</v>
      </c>
      <c r="D1348" s="1">
        <v>44826</v>
      </c>
      <c r="E1348">
        <v>374581</v>
      </c>
      <c r="F1348">
        <v>192833</v>
      </c>
      <c r="G1348">
        <v>181748</v>
      </c>
    </row>
    <row r="1349" spans="1:7" x14ac:dyDescent="0.25">
      <c r="A1349">
        <v>11001</v>
      </c>
      <c r="B1349" t="s">
        <v>341</v>
      </c>
      <c r="C1349" s="1">
        <v>44827</v>
      </c>
      <c r="D1349" s="1">
        <v>117974</v>
      </c>
      <c r="E1349">
        <v>377735</v>
      </c>
      <c r="F1349">
        <v>194131</v>
      </c>
      <c r="G1349">
        <v>183604</v>
      </c>
    </row>
    <row r="1350" spans="1:7" x14ac:dyDescent="0.25">
      <c r="A1350">
        <v>11002</v>
      </c>
      <c r="B1350" t="s">
        <v>342</v>
      </c>
      <c r="C1350" s="1">
        <v>43831</v>
      </c>
      <c r="D1350" s="1">
        <v>44111</v>
      </c>
      <c r="E1350">
        <v>289120</v>
      </c>
    </row>
    <row r="1351" spans="1:7" x14ac:dyDescent="0.25">
      <c r="A1351">
        <v>11002</v>
      </c>
      <c r="B1351" t="s">
        <v>342</v>
      </c>
      <c r="C1351" s="1">
        <v>44112</v>
      </c>
      <c r="D1351" s="1">
        <v>44433</v>
      </c>
      <c r="E1351">
        <v>282059</v>
      </c>
    </row>
    <row r="1352" spans="1:7" x14ac:dyDescent="0.25">
      <c r="A1352">
        <v>11002</v>
      </c>
      <c r="B1352" t="s">
        <v>342</v>
      </c>
      <c r="C1352" s="1">
        <v>44434</v>
      </c>
      <c r="D1352" s="1">
        <v>44826</v>
      </c>
      <c r="E1352">
        <v>279210</v>
      </c>
      <c r="F1352">
        <v>143483</v>
      </c>
      <c r="G1352">
        <v>135727</v>
      </c>
    </row>
    <row r="1353" spans="1:7" x14ac:dyDescent="0.25">
      <c r="A1353">
        <v>11002</v>
      </c>
      <c r="B1353" t="s">
        <v>342</v>
      </c>
      <c r="C1353" s="1">
        <v>44827</v>
      </c>
      <c r="D1353" s="1">
        <v>117974</v>
      </c>
      <c r="E1353">
        <v>280671</v>
      </c>
      <c r="F1353">
        <v>144094</v>
      </c>
      <c r="G1353">
        <v>136577</v>
      </c>
    </row>
    <row r="1354" spans="1:7" x14ac:dyDescent="0.25">
      <c r="A1354">
        <v>11003</v>
      </c>
      <c r="B1354" t="s">
        <v>343</v>
      </c>
      <c r="C1354" s="1">
        <v>43831</v>
      </c>
      <c r="D1354" s="1">
        <v>44111</v>
      </c>
      <c r="E1354">
        <v>407039</v>
      </c>
    </row>
    <row r="1355" spans="1:7" x14ac:dyDescent="0.25">
      <c r="A1355">
        <v>11003</v>
      </c>
      <c r="B1355" t="s">
        <v>343</v>
      </c>
      <c r="C1355" s="1">
        <v>44112</v>
      </c>
      <c r="D1355" s="1">
        <v>44433</v>
      </c>
      <c r="E1355">
        <v>398036</v>
      </c>
    </row>
    <row r="1356" spans="1:7" x14ac:dyDescent="0.25">
      <c r="A1356">
        <v>11003</v>
      </c>
      <c r="B1356" t="s">
        <v>343</v>
      </c>
      <c r="C1356" s="1">
        <v>44434</v>
      </c>
      <c r="D1356" s="1">
        <v>44826</v>
      </c>
      <c r="E1356">
        <v>404187</v>
      </c>
      <c r="F1356">
        <v>198099</v>
      </c>
      <c r="G1356">
        <v>206088</v>
      </c>
    </row>
    <row r="1357" spans="1:7" x14ac:dyDescent="0.25">
      <c r="A1357">
        <v>11003</v>
      </c>
      <c r="B1357" t="s">
        <v>343</v>
      </c>
      <c r="C1357" s="1">
        <v>44827</v>
      </c>
      <c r="D1357" s="1">
        <v>117974</v>
      </c>
      <c r="E1357">
        <v>404795</v>
      </c>
      <c r="F1357">
        <v>198392</v>
      </c>
      <c r="G1357">
        <v>206403</v>
      </c>
    </row>
    <row r="1358" spans="1:7" x14ac:dyDescent="0.25">
      <c r="A1358">
        <v>11004</v>
      </c>
      <c r="B1358" t="s">
        <v>344</v>
      </c>
      <c r="C1358" s="1">
        <v>43831</v>
      </c>
      <c r="D1358" s="1">
        <v>44111</v>
      </c>
      <c r="E1358">
        <v>341327</v>
      </c>
    </row>
    <row r="1359" spans="1:7" x14ac:dyDescent="0.25">
      <c r="A1359">
        <v>11004</v>
      </c>
      <c r="B1359" t="s">
        <v>344</v>
      </c>
      <c r="C1359" s="1">
        <v>44112</v>
      </c>
      <c r="D1359" s="1">
        <v>44433</v>
      </c>
      <c r="E1359">
        <v>334401</v>
      </c>
    </row>
    <row r="1360" spans="1:7" x14ac:dyDescent="0.25">
      <c r="A1360">
        <v>11004</v>
      </c>
      <c r="B1360" t="s">
        <v>344</v>
      </c>
      <c r="C1360" s="1">
        <v>44434</v>
      </c>
      <c r="D1360" s="1">
        <v>44826</v>
      </c>
      <c r="E1360">
        <v>316223</v>
      </c>
      <c r="F1360">
        <v>151017</v>
      </c>
      <c r="G1360">
        <v>165206</v>
      </c>
    </row>
    <row r="1361" spans="1:7" x14ac:dyDescent="0.25">
      <c r="A1361">
        <v>11004</v>
      </c>
      <c r="B1361" t="s">
        <v>344</v>
      </c>
      <c r="C1361" s="1">
        <v>44827</v>
      </c>
      <c r="D1361" s="1">
        <v>117974</v>
      </c>
      <c r="E1361">
        <v>317229</v>
      </c>
      <c r="F1361">
        <v>151425</v>
      </c>
      <c r="G1361">
        <v>165804</v>
      </c>
    </row>
    <row r="1362" spans="1:7" x14ac:dyDescent="0.25">
      <c r="A1362">
        <v>11005</v>
      </c>
      <c r="B1362" t="s">
        <v>345</v>
      </c>
      <c r="C1362" s="1">
        <v>43831</v>
      </c>
      <c r="D1362" s="1">
        <v>44111</v>
      </c>
      <c r="E1362">
        <v>243080</v>
      </c>
    </row>
    <row r="1363" spans="1:7" x14ac:dyDescent="0.25">
      <c r="A1363">
        <v>11005</v>
      </c>
      <c r="B1363" t="s">
        <v>345</v>
      </c>
      <c r="C1363" s="1">
        <v>44112</v>
      </c>
      <c r="D1363" s="1">
        <v>44433</v>
      </c>
      <c r="E1363">
        <v>239019</v>
      </c>
    </row>
    <row r="1364" spans="1:7" x14ac:dyDescent="0.25">
      <c r="A1364">
        <v>11005</v>
      </c>
      <c r="B1364" t="s">
        <v>345</v>
      </c>
      <c r="C1364" s="1">
        <v>44434</v>
      </c>
      <c r="D1364" s="1">
        <v>44826</v>
      </c>
      <c r="E1364">
        <v>239374</v>
      </c>
      <c r="F1364">
        <v>116422</v>
      </c>
      <c r="G1364">
        <v>122952</v>
      </c>
    </row>
    <row r="1365" spans="1:7" x14ac:dyDescent="0.25">
      <c r="A1365">
        <v>11005</v>
      </c>
      <c r="B1365" t="s">
        <v>345</v>
      </c>
      <c r="C1365" s="1">
        <v>44827</v>
      </c>
      <c r="D1365" s="1">
        <v>117974</v>
      </c>
      <c r="E1365">
        <v>240542</v>
      </c>
      <c r="F1365">
        <v>116889</v>
      </c>
      <c r="G1365">
        <v>123653</v>
      </c>
    </row>
    <row r="1366" spans="1:7" x14ac:dyDescent="0.25">
      <c r="A1366">
        <v>11006</v>
      </c>
      <c r="B1366" t="s">
        <v>346</v>
      </c>
      <c r="C1366" s="1">
        <v>43831</v>
      </c>
      <c r="D1366" s="1">
        <v>44111</v>
      </c>
      <c r="E1366">
        <v>308077</v>
      </c>
    </row>
    <row r="1367" spans="1:7" x14ac:dyDescent="0.25">
      <c r="A1367">
        <v>11006</v>
      </c>
      <c r="B1367" t="s">
        <v>346</v>
      </c>
      <c r="C1367" s="1">
        <v>44112</v>
      </c>
      <c r="D1367" s="1">
        <v>44433</v>
      </c>
      <c r="E1367">
        <v>302177</v>
      </c>
    </row>
    <row r="1368" spans="1:7" x14ac:dyDescent="0.25">
      <c r="A1368">
        <v>11006</v>
      </c>
      <c r="B1368" t="s">
        <v>346</v>
      </c>
      <c r="C1368" s="1">
        <v>44434</v>
      </c>
      <c r="D1368" s="1">
        <v>44826</v>
      </c>
      <c r="E1368">
        <v>291915</v>
      </c>
      <c r="F1368">
        <v>135986</v>
      </c>
      <c r="G1368">
        <v>155929</v>
      </c>
    </row>
    <row r="1369" spans="1:7" x14ac:dyDescent="0.25">
      <c r="A1369">
        <v>11006</v>
      </c>
      <c r="B1369" t="s">
        <v>346</v>
      </c>
      <c r="C1369" s="1">
        <v>44827</v>
      </c>
      <c r="D1369" s="1">
        <v>117974</v>
      </c>
      <c r="E1369">
        <v>292255</v>
      </c>
      <c r="F1369">
        <v>136025</v>
      </c>
      <c r="G1369">
        <v>156230</v>
      </c>
    </row>
    <row r="1370" spans="1:7" x14ac:dyDescent="0.25">
      <c r="A1370">
        <v>11007</v>
      </c>
      <c r="B1370" t="s">
        <v>347</v>
      </c>
      <c r="C1370" s="1">
        <v>43831</v>
      </c>
      <c r="D1370" s="1">
        <v>44111</v>
      </c>
      <c r="E1370">
        <v>351429</v>
      </c>
    </row>
    <row r="1371" spans="1:7" x14ac:dyDescent="0.25">
      <c r="A1371">
        <v>11007</v>
      </c>
      <c r="B1371" t="s">
        <v>347</v>
      </c>
      <c r="C1371" s="1">
        <v>44112</v>
      </c>
      <c r="D1371" s="1">
        <v>44433</v>
      </c>
      <c r="E1371">
        <v>341772</v>
      </c>
    </row>
    <row r="1372" spans="1:7" x14ac:dyDescent="0.25">
      <c r="A1372">
        <v>11007</v>
      </c>
      <c r="B1372" t="s">
        <v>347</v>
      </c>
      <c r="C1372" s="1">
        <v>44434</v>
      </c>
      <c r="D1372" s="1">
        <v>44826</v>
      </c>
      <c r="E1372">
        <v>341296</v>
      </c>
      <c r="F1372">
        <v>165623</v>
      </c>
      <c r="G1372">
        <v>175673</v>
      </c>
    </row>
    <row r="1373" spans="1:7" x14ac:dyDescent="0.25">
      <c r="A1373">
        <v>11007</v>
      </c>
      <c r="B1373" t="s">
        <v>347</v>
      </c>
      <c r="C1373" s="1">
        <v>44827</v>
      </c>
      <c r="D1373" s="1">
        <v>117974</v>
      </c>
      <c r="E1373">
        <v>342285</v>
      </c>
      <c r="F1373">
        <v>166006</v>
      </c>
      <c r="G1373">
        <v>176279</v>
      </c>
    </row>
    <row r="1374" spans="1:7" x14ac:dyDescent="0.25">
      <c r="A1374">
        <v>11008</v>
      </c>
      <c r="B1374" t="s">
        <v>348</v>
      </c>
      <c r="C1374" s="1">
        <v>43831</v>
      </c>
      <c r="D1374" s="1">
        <v>44111</v>
      </c>
      <c r="E1374">
        <v>330786</v>
      </c>
    </row>
    <row r="1375" spans="1:7" x14ac:dyDescent="0.25">
      <c r="A1375">
        <v>11008</v>
      </c>
      <c r="B1375" t="s">
        <v>348</v>
      </c>
      <c r="C1375" s="1">
        <v>44112</v>
      </c>
      <c r="D1375" s="1">
        <v>44433</v>
      </c>
      <c r="E1375">
        <v>321123</v>
      </c>
    </row>
    <row r="1376" spans="1:7" x14ac:dyDescent="0.25">
      <c r="A1376">
        <v>11008</v>
      </c>
      <c r="B1376" t="s">
        <v>348</v>
      </c>
      <c r="C1376" s="1">
        <v>44434</v>
      </c>
      <c r="D1376" s="1">
        <v>44826</v>
      </c>
      <c r="E1376">
        <v>318509</v>
      </c>
      <c r="F1376">
        <v>158648</v>
      </c>
      <c r="G1376">
        <v>159861</v>
      </c>
    </row>
    <row r="1377" spans="1:7" x14ac:dyDescent="0.25">
      <c r="A1377">
        <v>11008</v>
      </c>
      <c r="B1377" t="s">
        <v>348</v>
      </c>
      <c r="C1377" s="1">
        <v>44827</v>
      </c>
      <c r="D1377" s="1">
        <v>117974</v>
      </c>
      <c r="E1377">
        <v>320204</v>
      </c>
      <c r="F1377">
        <v>159399</v>
      </c>
      <c r="G1377">
        <v>160805</v>
      </c>
    </row>
    <row r="1378" spans="1:7" x14ac:dyDescent="0.25">
      <c r="A1378">
        <v>11009</v>
      </c>
      <c r="B1378" t="s">
        <v>349</v>
      </c>
      <c r="C1378" s="1">
        <v>43831</v>
      </c>
      <c r="D1378" s="1">
        <v>44111</v>
      </c>
      <c r="E1378">
        <v>269775</v>
      </c>
    </row>
    <row r="1379" spans="1:7" x14ac:dyDescent="0.25">
      <c r="A1379">
        <v>11009</v>
      </c>
      <c r="B1379" t="s">
        <v>349</v>
      </c>
      <c r="C1379" s="1">
        <v>44112</v>
      </c>
      <c r="D1379" s="1">
        <v>44433</v>
      </c>
      <c r="E1379">
        <v>266488</v>
      </c>
    </row>
    <row r="1380" spans="1:7" x14ac:dyDescent="0.25">
      <c r="A1380">
        <v>11009</v>
      </c>
      <c r="B1380" t="s">
        <v>349</v>
      </c>
      <c r="C1380" s="1">
        <v>44434</v>
      </c>
      <c r="D1380" s="1">
        <v>44826</v>
      </c>
      <c r="E1380">
        <v>272992</v>
      </c>
      <c r="F1380">
        <v>132792</v>
      </c>
      <c r="G1380">
        <v>140200</v>
      </c>
    </row>
    <row r="1381" spans="1:7" x14ac:dyDescent="0.25">
      <c r="A1381">
        <v>11009</v>
      </c>
      <c r="B1381" t="s">
        <v>349</v>
      </c>
      <c r="C1381" s="1">
        <v>44827</v>
      </c>
      <c r="D1381" s="1">
        <v>117974</v>
      </c>
      <c r="E1381">
        <v>273188</v>
      </c>
      <c r="F1381">
        <v>132981</v>
      </c>
      <c r="G1381">
        <v>140207</v>
      </c>
    </row>
    <row r="1382" spans="1:7" x14ac:dyDescent="0.25">
      <c r="A1382">
        <v>11010</v>
      </c>
      <c r="B1382" t="s">
        <v>350</v>
      </c>
      <c r="C1382" s="1">
        <v>43831</v>
      </c>
      <c r="D1382" s="1">
        <v>44111</v>
      </c>
      <c r="E1382">
        <v>268739</v>
      </c>
    </row>
    <row r="1383" spans="1:7" x14ac:dyDescent="0.25">
      <c r="A1383">
        <v>11010</v>
      </c>
      <c r="B1383" t="s">
        <v>350</v>
      </c>
      <c r="C1383" s="1">
        <v>44112</v>
      </c>
      <c r="D1383" s="1">
        <v>44433</v>
      </c>
      <c r="E1383">
        <v>262967</v>
      </c>
    </row>
    <row r="1384" spans="1:7" x14ac:dyDescent="0.25">
      <c r="A1384">
        <v>11010</v>
      </c>
      <c r="B1384" t="s">
        <v>350</v>
      </c>
      <c r="C1384" s="1">
        <v>44434</v>
      </c>
      <c r="D1384" s="1">
        <v>44826</v>
      </c>
      <c r="E1384">
        <v>274076</v>
      </c>
      <c r="F1384">
        <v>135123</v>
      </c>
      <c r="G1384">
        <v>138953</v>
      </c>
    </row>
    <row r="1385" spans="1:7" x14ac:dyDescent="0.25">
      <c r="A1385">
        <v>11010</v>
      </c>
      <c r="B1385" t="s">
        <v>350</v>
      </c>
      <c r="C1385" s="1">
        <v>44827</v>
      </c>
      <c r="D1385" s="1">
        <v>117974</v>
      </c>
      <c r="E1385">
        <v>274853</v>
      </c>
      <c r="F1385">
        <v>135588</v>
      </c>
      <c r="G1385">
        <v>139265</v>
      </c>
    </row>
    <row r="1386" spans="1:7" x14ac:dyDescent="0.25">
      <c r="A1386">
        <v>11011</v>
      </c>
      <c r="B1386" t="s">
        <v>351</v>
      </c>
      <c r="C1386" s="1">
        <v>43831</v>
      </c>
      <c r="D1386" s="1">
        <v>44111</v>
      </c>
      <c r="E1386">
        <v>290493</v>
      </c>
    </row>
    <row r="1387" spans="1:7" x14ac:dyDescent="0.25">
      <c r="A1387">
        <v>11011</v>
      </c>
      <c r="B1387" t="s">
        <v>351</v>
      </c>
      <c r="C1387" s="1">
        <v>44112</v>
      </c>
      <c r="D1387" s="1">
        <v>44433</v>
      </c>
      <c r="E1387">
        <v>286522</v>
      </c>
    </row>
    <row r="1388" spans="1:7" x14ac:dyDescent="0.25">
      <c r="A1388">
        <v>11011</v>
      </c>
      <c r="B1388" t="s">
        <v>351</v>
      </c>
      <c r="C1388" s="1">
        <v>44434</v>
      </c>
      <c r="D1388" s="1">
        <v>44826</v>
      </c>
      <c r="E1388">
        <v>292005</v>
      </c>
      <c r="F1388">
        <v>144368</v>
      </c>
      <c r="G1388">
        <v>147637</v>
      </c>
    </row>
    <row r="1389" spans="1:7" x14ac:dyDescent="0.25">
      <c r="A1389">
        <v>11011</v>
      </c>
      <c r="B1389" t="s">
        <v>351</v>
      </c>
      <c r="C1389" s="1">
        <v>44827</v>
      </c>
      <c r="D1389" s="1">
        <v>117974</v>
      </c>
      <c r="E1389">
        <v>293139</v>
      </c>
      <c r="F1389">
        <v>144894</v>
      </c>
      <c r="G1389">
        <v>148245</v>
      </c>
    </row>
    <row r="1390" spans="1:7" x14ac:dyDescent="0.25">
      <c r="A1390">
        <v>11012</v>
      </c>
      <c r="B1390" t="s">
        <v>352</v>
      </c>
      <c r="C1390" s="1">
        <v>43831</v>
      </c>
      <c r="D1390" s="1">
        <v>44111</v>
      </c>
      <c r="E1390">
        <v>264826</v>
      </c>
    </row>
    <row r="1391" spans="1:7" x14ac:dyDescent="0.25">
      <c r="A1391">
        <v>11012</v>
      </c>
      <c r="B1391" t="s">
        <v>352</v>
      </c>
      <c r="C1391" s="1">
        <v>44112</v>
      </c>
      <c r="D1391" s="1">
        <v>44433</v>
      </c>
      <c r="E1391">
        <v>259689</v>
      </c>
    </row>
    <row r="1392" spans="1:7" x14ac:dyDescent="0.25">
      <c r="A1392">
        <v>11012</v>
      </c>
      <c r="B1392" t="s">
        <v>352</v>
      </c>
      <c r="C1392" s="1">
        <v>44434</v>
      </c>
      <c r="D1392" s="1">
        <v>44826</v>
      </c>
      <c r="E1392">
        <v>259720</v>
      </c>
      <c r="F1392">
        <v>127644</v>
      </c>
      <c r="G1392">
        <v>132076</v>
      </c>
    </row>
    <row r="1393" spans="1:7" x14ac:dyDescent="0.25">
      <c r="A1393">
        <v>11012</v>
      </c>
      <c r="B1393" t="s">
        <v>352</v>
      </c>
      <c r="C1393" s="1">
        <v>44827</v>
      </c>
      <c r="D1393" s="1">
        <v>117974</v>
      </c>
      <c r="E1393">
        <v>260576</v>
      </c>
      <c r="F1393">
        <v>128002</v>
      </c>
      <c r="G1393">
        <v>132574</v>
      </c>
    </row>
    <row r="1394" spans="1:7" x14ac:dyDescent="0.25">
      <c r="A1394">
        <v>12</v>
      </c>
      <c r="B1394" t="s">
        <v>353</v>
      </c>
      <c r="C1394" s="1">
        <v>43831</v>
      </c>
      <c r="D1394" s="1">
        <v>44111</v>
      </c>
      <c r="E1394">
        <v>2511917</v>
      </c>
    </row>
    <row r="1395" spans="1:7" x14ac:dyDescent="0.25">
      <c r="A1395">
        <v>12</v>
      </c>
      <c r="B1395" t="s">
        <v>353</v>
      </c>
      <c r="C1395" s="1">
        <v>44112</v>
      </c>
      <c r="D1395" s="1">
        <v>44433</v>
      </c>
      <c r="E1395">
        <v>2521893</v>
      </c>
    </row>
    <row r="1396" spans="1:7" x14ac:dyDescent="0.25">
      <c r="A1396">
        <v>12</v>
      </c>
      <c r="B1396" t="s">
        <v>353</v>
      </c>
      <c r="C1396" s="1">
        <v>44434</v>
      </c>
      <c r="D1396" s="1">
        <v>44826</v>
      </c>
      <c r="E1396">
        <v>2531071</v>
      </c>
      <c r="F1396">
        <v>1248050</v>
      </c>
      <c r="G1396">
        <v>1283021</v>
      </c>
    </row>
    <row r="1397" spans="1:7" x14ac:dyDescent="0.25">
      <c r="A1397">
        <v>12</v>
      </c>
      <c r="B1397" t="s">
        <v>353</v>
      </c>
      <c r="C1397" s="1">
        <v>44827</v>
      </c>
      <c r="D1397" s="1">
        <v>117974</v>
      </c>
      <c r="E1397">
        <v>2537868</v>
      </c>
      <c r="F1397">
        <v>1250325</v>
      </c>
      <c r="G1397">
        <v>1287543</v>
      </c>
    </row>
    <row r="1398" spans="1:7" x14ac:dyDescent="0.25">
      <c r="A1398">
        <v>12051</v>
      </c>
      <c r="B1398" t="s">
        <v>354</v>
      </c>
      <c r="C1398" s="1">
        <v>43831</v>
      </c>
      <c r="D1398" s="1">
        <v>44111</v>
      </c>
      <c r="E1398">
        <v>72124</v>
      </c>
    </row>
    <row r="1399" spans="1:7" x14ac:dyDescent="0.25">
      <c r="A1399">
        <v>12051</v>
      </c>
      <c r="B1399" t="s">
        <v>354</v>
      </c>
      <c r="C1399" s="1">
        <v>44112</v>
      </c>
      <c r="D1399" s="1">
        <v>44433</v>
      </c>
      <c r="E1399">
        <v>72184</v>
      </c>
    </row>
    <row r="1400" spans="1:7" x14ac:dyDescent="0.25">
      <c r="A1400">
        <v>12051</v>
      </c>
      <c r="B1400" t="s">
        <v>354</v>
      </c>
      <c r="C1400" s="1">
        <v>44434</v>
      </c>
      <c r="D1400" s="1">
        <v>44826</v>
      </c>
      <c r="E1400">
        <v>72040</v>
      </c>
      <c r="F1400">
        <v>35480</v>
      </c>
      <c r="G1400">
        <v>36560</v>
      </c>
    </row>
    <row r="1401" spans="1:7" x14ac:dyDescent="0.25">
      <c r="A1401">
        <v>12051</v>
      </c>
      <c r="B1401" t="s">
        <v>354</v>
      </c>
      <c r="C1401" s="1">
        <v>44827</v>
      </c>
      <c r="D1401" s="1">
        <v>117974</v>
      </c>
      <c r="E1401">
        <v>72461</v>
      </c>
      <c r="F1401">
        <v>35635</v>
      </c>
      <c r="G1401">
        <v>36826</v>
      </c>
    </row>
    <row r="1402" spans="1:7" x14ac:dyDescent="0.25">
      <c r="A1402">
        <v>12052</v>
      </c>
      <c r="B1402" t="s">
        <v>355</v>
      </c>
      <c r="C1402" s="1">
        <v>43831</v>
      </c>
      <c r="D1402" s="1">
        <v>44111</v>
      </c>
      <c r="E1402">
        <v>100219</v>
      </c>
    </row>
    <row r="1403" spans="1:7" x14ac:dyDescent="0.25">
      <c r="A1403">
        <v>12052</v>
      </c>
      <c r="B1403" t="s">
        <v>355</v>
      </c>
      <c r="C1403" s="1">
        <v>44112</v>
      </c>
      <c r="D1403" s="1">
        <v>44433</v>
      </c>
      <c r="E1403">
        <v>99678</v>
      </c>
    </row>
    <row r="1404" spans="1:7" x14ac:dyDescent="0.25">
      <c r="A1404">
        <v>12052</v>
      </c>
      <c r="B1404" t="s">
        <v>355</v>
      </c>
      <c r="C1404" s="1">
        <v>44434</v>
      </c>
      <c r="D1404" s="1">
        <v>44826</v>
      </c>
      <c r="E1404">
        <v>98693</v>
      </c>
      <c r="F1404">
        <v>48345</v>
      </c>
      <c r="G1404">
        <v>50348</v>
      </c>
    </row>
    <row r="1405" spans="1:7" x14ac:dyDescent="0.25">
      <c r="A1405">
        <v>12052</v>
      </c>
      <c r="B1405" t="s">
        <v>355</v>
      </c>
      <c r="C1405" s="1">
        <v>44827</v>
      </c>
      <c r="D1405" s="1">
        <v>117974</v>
      </c>
      <c r="E1405">
        <v>98359</v>
      </c>
      <c r="F1405">
        <v>48184</v>
      </c>
      <c r="G1405">
        <v>50175</v>
      </c>
    </row>
    <row r="1406" spans="1:7" x14ac:dyDescent="0.25">
      <c r="A1406">
        <v>12053</v>
      </c>
      <c r="B1406" t="s">
        <v>356</v>
      </c>
      <c r="C1406" s="1">
        <v>43831</v>
      </c>
      <c r="D1406" s="1">
        <v>44111</v>
      </c>
      <c r="E1406">
        <v>57873</v>
      </c>
    </row>
    <row r="1407" spans="1:7" x14ac:dyDescent="0.25">
      <c r="A1407">
        <v>12053</v>
      </c>
      <c r="B1407" t="s">
        <v>356</v>
      </c>
      <c r="C1407" s="1">
        <v>44112</v>
      </c>
      <c r="D1407" s="1">
        <v>44433</v>
      </c>
      <c r="E1407">
        <v>57751</v>
      </c>
    </row>
    <row r="1408" spans="1:7" x14ac:dyDescent="0.25">
      <c r="A1408">
        <v>12053</v>
      </c>
      <c r="B1408" t="s">
        <v>356</v>
      </c>
      <c r="C1408" s="1">
        <v>44434</v>
      </c>
      <c r="D1408" s="1">
        <v>44826</v>
      </c>
      <c r="E1408">
        <v>57015</v>
      </c>
      <c r="F1408">
        <v>27704</v>
      </c>
      <c r="G1408">
        <v>29311</v>
      </c>
    </row>
    <row r="1409" spans="1:7" x14ac:dyDescent="0.25">
      <c r="A1409">
        <v>12053</v>
      </c>
      <c r="B1409" t="s">
        <v>356</v>
      </c>
      <c r="C1409" s="1">
        <v>44827</v>
      </c>
      <c r="D1409" s="1">
        <v>117974</v>
      </c>
      <c r="E1409">
        <v>56679</v>
      </c>
      <c r="F1409">
        <v>27482</v>
      </c>
      <c r="G1409">
        <v>29197</v>
      </c>
    </row>
    <row r="1410" spans="1:7" x14ac:dyDescent="0.25">
      <c r="A1410">
        <v>12054</v>
      </c>
      <c r="B1410" t="s">
        <v>357</v>
      </c>
      <c r="C1410" s="1">
        <v>43831</v>
      </c>
      <c r="D1410" s="1">
        <v>44111</v>
      </c>
      <c r="E1410">
        <v>178089</v>
      </c>
    </row>
    <row r="1411" spans="1:7" x14ac:dyDescent="0.25">
      <c r="A1411">
        <v>12054</v>
      </c>
      <c r="B1411" t="s">
        <v>357</v>
      </c>
      <c r="C1411" s="1">
        <v>44112</v>
      </c>
      <c r="D1411" s="1">
        <v>44433</v>
      </c>
      <c r="E1411">
        <v>180334</v>
      </c>
    </row>
    <row r="1412" spans="1:7" x14ac:dyDescent="0.25">
      <c r="A1412">
        <v>12054</v>
      </c>
      <c r="B1412" t="s">
        <v>357</v>
      </c>
      <c r="C1412" s="1">
        <v>44434</v>
      </c>
      <c r="D1412" s="1">
        <v>44826</v>
      </c>
      <c r="E1412">
        <v>182112</v>
      </c>
      <c r="F1412">
        <v>88122</v>
      </c>
      <c r="G1412">
        <v>93990</v>
      </c>
    </row>
    <row r="1413" spans="1:7" x14ac:dyDescent="0.25">
      <c r="A1413">
        <v>12054</v>
      </c>
      <c r="B1413" t="s">
        <v>357</v>
      </c>
      <c r="C1413" s="1">
        <v>44827</v>
      </c>
      <c r="D1413" s="1">
        <v>117974</v>
      </c>
      <c r="E1413">
        <v>183154</v>
      </c>
      <c r="F1413">
        <v>88443</v>
      </c>
      <c r="G1413">
        <v>94711</v>
      </c>
    </row>
    <row r="1414" spans="1:7" x14ac:dyDescent="0.25">
      <c r="A1414">
        <v>12060</v>
      </c>
      <c r="B1414" t="s">
        <v>358</v>
      </c>
      <c r="C1414" s="1">
        <v>43831</v>
      </c>
      <c r="D1414" s="1">
        <v>44111</v>
      </c>
      <c r="E1414">
        <v>182760</v>
      </c>
    </row>
    <row r="1415" spans="1:7" x14ac:dyDescent="0.25">
      <c r="A1415">
        <v>12060</v>
      </c>
      <c r="B1415" t="s">
        <v>358</v>
      </c>
      <c r="C1415" s="1">
        <v>44112</v>
      </c>
      <c r="D1415" s="1">
        <v>44433</v>
      </c>
      <c r="E1415">
        <v>185244</v>
      </c>
    </row>
    <row r="1416" spans="1:7" x14ac:dyDescent="0.25">
      <c r="A1416">
        <v>12060</v>
      </c>
      <c r="B1416" t="s">
        <v>358</v>
      </c>
      <c r="C1416" s="1">
        <v>44434</v>
      </c>
      <c r="D1416" s="1">
        <v>44826</v>
      </c>
      <c r="E1416">
        <v>187343</v>
      </c>
      <c r="F1416">
        <v>92800</v>
      </c>
      <c r="G1416">
        <v>94543</v>
      </c>
    </row>
    <row r="1417" spans="1:7" x14ac:dyDescent="0.25">
      <c r="A1417">
        <v>12060</v>
      </c>
      <c r="B1417" t="s">
        <v>358</v>
      </c>
      <c r="C1417" s="1">
        <v>44827</v>
      </c>
      <c r="D1417" s="1">
        <v>117974</v>
      </c>
      <c r="E1417">
        <v>188835</v>
      </c>
      <c r="F1417">
        <v>93344</v>
      </c>
      <c r="G1417">
        <v>95491</v>
      </c>
    </row>
    <row r="1418" spans="1:7" x14ac:dyDescent="0.25">
      <c r="A1418">
        <v>12061</v>
      </c>
      <c r="B1418" t="s">
        <v>359</v>
      </c>
      <c r="C1418" s="1">
        <v>43831</v>
      </c>
      <c r="D1418" s="1">
        <v>44111</v>
      </c>
      <c r="E1418">
        <v>169067</v>
      </c>
    </row>
    <row r="1419" spans="1:7" x14ac:dyDescent="0.25">
      <c r="A1419">
        <v>12061</v>
      </c>
      <c r="B1419" t="s">
        <v>359</v>
      </c>
      <c r="C1419" s="1">
        <v>44112</v>
      </c>
      <c r="D1419" s="1">
        <v>44433</v>
      </c>
      <c r="E1419">
        <v>170791</v>
      </c>
    </row>
    <row r="1420" spans="1:7" x14ac:dyDescent="0.25">
      <c r="A1420">
        <v>12061</v>
      </c>
      <c r="B1420" t="s">
        <v>359</v>
      </c>
      <c r="C1420" s="1">
        <v>44434</v>
      </c>
      <c r="D1420" s="1">
        <v>44826</v>
      </c>
      <c r="E1420">
        <v>173316</v>
      </c>
      <c r="F1420">
        <v>85908</v>
      </c>
      <c r="G1420">
        <v>87408</v>
      </c>
    </row>
    <row r="1421" spans="1:7" x14ac:dyDescent="0.25">
      <c r="A1421">
        <v>12061</v>
      </c>
      <c r="B1421" t="s">
        <v>359</v>
      </c>
      <c r="C1421" s="1">
        <v>44827</v>
      </c>
      <c r="D1421" s="1">
        <v>117974</v>
      </c>
      <c r="E1421">
        <v>175834</v>
      </c>
      <c r="F1421">
        <v>87089</v>
      </c>
      <c r="G1421">
        <v>88745</v>
      </c>
    </row>
    <row r="1422" spans="1:7" x14ac:dyDescent="0.25">
      <c r="A1422">
        <v>12062</v>
      </c>
      <c r="B1422" t="s">
        <v>360</v>
      </c>
      <c r="C1422" s="1">
        <v>43831</v>
      </c>
      <c r="D1422" s="1">
        <v>44111</v>
      </c>
      <c r="E1422">
        <v>102638</v>
      </c>
    </row>
    <row r="1423" spans="1:7" x14ac:dyDescent="0.25">
      <c r="A1423">
        <v>12062</v>
      </c>
      <c r="B1423" t="s">
        <v>360</v>
      </c>
      <c r="C1423" s="1">
        <v>44112</v>
      </c>
      <c r="D1423" s="1">
        <v>44433</v>
      </c>
      <c r="E1423">
        <v>101827</v>
      </c>
    </row>
    <row r="1424" spans="1:7" x14ac:dyDescent="0.25">
      <c r="A1424">
        <v>12062</v>
      </c>
      <c r="B1424" t="s">
        <v>360</v>
      </c>
      <c r="C1424" s="1">
        <v>44434</v>
      </c>
      <c r="D1424" s="1">
        <v>44826</v>
      </c>
      <c r="E1424">
        <v>101085</v>
      </c>
      <c r="F1424">
        <v>50098</v>
      </c>
      <c r="G1424">
        <v>50987</v>
      </c>
    </row>
    <row r="1425" spans="1:7" x14ac:dyDescent="0.25">
      <c r="A1425">
        <v>12062</v>
      </c>
      <c r="B1425" t="s">
        <v>360</v>
      </c>
      <c r="C1425" s="1">
        <v>44827</v>
      </c>
      <c r="D1425" s="1">
        <v>117974</v>
      </c>
      <c r="E1425">
        <v>100317</v>
      </c>
      <c r="F1425">
        <v>49675</v>
      </c>
      <c r="G1425">
        <v>50642</v>
      </c>
    </row>
    <row r="1426" spans="1:7" x14ac:dyDescent="0.25">
      <c r="A1426">
        <v>12063</v>
      </c>
      <c r="B1426" t="s">
        <v>361</v>
      </c>
      <c r="C1426" s="1">
        <v>43831</v>
      </c>
      <c r="D1426" s="1">
        <v>44111</v>
      </c>
      <c r="E1426">
        <v>161909</v>
      </c>
    </row>
    <row r="1427" spans="1:7" x14ac:dyDescent="0.25">
      <c r="A1427">
        <v>12063</v>
      </c>
      <c r="B1427" t="s">
        <v>361</v>
      </c>
      <c r="C1427" s="1">
        <v>44112</v>
      </c>
      <c r="D1427" s="1">
        <v>44433</v>
      </c>
      <c r="E1427">
        <v>162996</v>
      </c>
    </row>
    <row r="1428" spans="1:7" x14ac:dyDescent="0.25">
      <c r="A1428">
        <v>12063</v>
      </c>
      <c r="B1428" t="s">
        <v>361</v>
      </c>
      <c r="C1428" s="1">
        <v>44434</v>
      </c>
      <c r="D1428" s="1">
        <v>44826</v>
      </c>
      <c r="E1428">
        <v>164693</v>
      </c>
      <c r="F1428">
        <v>81382</v>
      </c>
      <c r="G1428">
        <v>83311</v>
      </c>
    </row>
    <row r="1429" spans="1:7" x14ac:dyDescent="0.25">
      <c r="A1429">
        <v>12063</v>
      </c>
      <c r="B1429" t="s">
        <v>361</v>
      </c>
      <c r="C1429" s="1">
        <v>44827</v>
      </c>
      <c r="D1429" s="1">
        <v>117974</v>
      </c>
      <c r="E1429">
        <v>165906</v>
      </c>
      <c r="F1429">
        <v>81939</v>
      </c>
      <c r="G1429">
        <v>83967</v>
      </c>
    </row>
    <row r="1430" spans="1:7" x14ac:dyDescent="0.25">
      <c r="A1430">
        <v>12064</v>
      </c>
      <c r="B1430" t="s">
        <v>362</v>
      </c>
      <c r="C1430" s="1">
        <v>43831</v>
      </c>
      <c r="D1430" s="1">
        <v>44111</v>
      </c>
      <c r="E1430">
        <v>194328</v>
      </c>
    </row>
    <row r="1431" spans="1:7" x14ac:dyDescent="0.25">
      <c r="A1431">
        <v>12064</v>
      </c>
      <c r="B1431" t="s">
        <v>362</v>
      </c>
      <c r="C1431" s="1">
        <v>44112</v>
      </c>
      <c r="D1431" s="1">
        <v>44433</v>
      </c>
      <c r="E1431">
        <v>195751</v>
      </c>
    </row>
    <row r="1432" spans="1:7" x14ac:dyDescent="0.25">
      <c r="A1432">
        <v>12064</v>
      </c>
      <c r="B1432" t="s">
        <v>362</v>
      </c>
      <c r="C1432" s="1">
        <v>44434</v>
      </c>
      <c r="D1432" s="1">
        <v>44826</v>
      </c>
      <c r="E1432">
        <v>197195</v>
      </c>
      <c r="F1432">
        <v>97811</v>
      </c>
      <c r="G1432">
        <v>99384</v>
      </c>
    </row>
    <row r="1433" spans="1:7" x14ac:dyDescent="0.25">
      <c r="A1433">
        <v>12064</v>
      </c>
      <c r="B1433" t="s">
        <v>362</v>
      </c>
      <c r="C1433" s="1">
        <v>44827</v>
      </c>
      <c r="D1433" s="1">
        <v>117974</v>
      </c>
      <c r="E1433">
        <v>197965</v>
      </c>
      <c r="F1433">
        <v>98154</v>
      </c>
      <c r="G1433">
        <v>99811</v>
      </c>
    </row>
    <row r="1434" spans="1:7" x14ac:dyDescent="0.25">
      <c r="A1434">
        <v>12065</v>
      </c>
      <c r="B1434" t="s">
        <v>363</v>
      </c>
      <c r="C1434" s="1">
        <v>43831</v>
      </c>
      <c r="D1434" s="1">
        <v>44111</v>
      </c>
      <c r="E1434">
        <v>211249</v>
      </c>
    </row>
    <row r="1435" spans="1:7" x14ac:dyDescent="0.25">
      <c r="A1435">
        <v>12065</v>
      </c>
      <c r="B1435" t="s">
        <v>363</v>
      </c>
      <c r="C1435" s="1">
        <v>44112</v>
      </c>
      <c r="D1435" s="1">
        <v>44433</v>
      </c>
      <c r="E1435">
        <v>212914</v>
      </c>
    </row>
    <row r="1436" spans="1:7" x14ac:dyDescent="0.25">
      <c r="A1436">
        <v>12065</v>
      </c>
      <c r="B1436" t="s">
        <v>363</v>
      </c>
      <c r="C1436" s="1">
        <v>44434</v>
      </c>
      <c r="D1436" s="1">
        <v>44826</v>
      </c>
      <c r="E1436">
        <v>214234</v>
      </c>
      <c r="F1436">
        <v>105559</v>
      </c>
      <c r="G1436">
        <v>108675</v>
      </c>
    </row>
    <row r="1437" spans="1:7" x14ac:dyDescent="0.25">
      <c r="A1437">
        <v>12065</v>
      </c>
      <c r="B1437" t="s">
        <v>363</v>
      </c>
      <c r="C1437" s="1">
        <v>44827</v>
      </c>
      <c r="D1437" s="1">
        <v>117974</v>
      </c>
      <c r="E1437">
        <v>215795</v>
      </c>
      <c r="F1437">
        <v>106259</v>
      </c>
      <c r="G1437">
        <v>109536</v>
      </c>
    </row>
    <row r="1438" spans="1:7" x14ac:dyDescent="0.25">
      <c r="A1438">
        <v>12066</v>
      </c>
      <c r="B1438" t="s">
        <v>364</v>
      </c>
      <c r="C1438" s="1">
        <v>43831</v>
      </c>
      <c r="D1438" s="1">
        <v>44111</v>
      </c>
      <c r="E1438">
        <v>110476</v>
      </c>
    </row>
    <row r="1439" spans="1:7" x14ac:dyDescent="0.25">
      <c r="A1439">
        <v>12066</v>
      </c>
      <c r="B1439" t="s">
        <v>364</v>
      </c>
      <c r="C1439" s="1">
        <v>44112</v>
      </c>
      <c r="D1439" s="1">
        <v>44433</v>
      </c>
      <c r="E1439">
        <v>109371</v>
      </c>
    </row>
    <row r="1440" spans="1:7" x14ac:dyDescent="0.25">
      <c r="A1440">
        <v>12066</v>
      </c>
      <c r="B1440" t="s">
        <v>364</v>
      </c>
      <c r="C1440" s="1">
        <v>44434</v>
      </c>
      <c r="D1440" s="1">
        <v>44826</v>
      </c>
      <c r="E1440">
        <v>108396</v>
      </c>
      <c r="F1440">
        <v>53199</v>
      </c>
      <c r="G1440">
        <v>55197</v>
      </c>
    </row>
    <row r="1441" spans="1:7" x14ac:dyDescent="0.25">
      <c r="A1441">
        <v>12066</v>
      </c>
      <c r="B1441" t="s">
        <v>364</v>
      </c>
      <c r="C1441" s="1">
        <v>44827</v>
      </c>
      <c r="D1441" s="1">
        <v>117974</v>
      </c>
      <c r="E1441">
        <v>107558</v>
      </c>
      <c r="F1441">
        <v>52825</v>
      </c>
      <c r="G1441">
        <v>54733</v>
      </c>
    </row>
    <row r="1442" spans="1:7" x14ac:dyDescent="0.25">
      <c r="A1442">
        <v>12067</v>
      </c>
      <c r="B1442" t="s">
        <v>365</v>
      </c>
      <c r="C1442" s="1">
        <v>43831</v>
      </c>
      <c r="D1442" s="1">
        <v>44111</v>
      </c>
      <c r="E1442">
        <v>178658</v>
      </c>
    </row>
    <row r="1443" spans="1:7" x14ac:dyDescent="0.25">
      <c r="A1443">
        <v>12067</v>
      </c>
      <c r="B1443" t="s">
        <v>365</v>
      </c>
      <c r="C1443" s="1">
        <v>44112</v>
      </c>
      <c r="D1443" s="1">
        <v>44433</v>
      </c>
      <c r="E1443">
        <v>178803</v>
      </c>
    </row>
    <row r="1444" spans="1:7" x14ac:dyDescent="0.25">
      <c r="A1444">
        <v>12067</v>
      </c>
      <c r="B1444" t="s">
        <v>365</v>
      </c>
      <c r="C1444" s="1">
        <v>44434</v>
      </c>
      <c r="D1444" s="1">
        <v>44826</v>
      </c>
      <c r="E1444">
        <v>179276</v>
      </c>
      <c r="F1444">
        <v>87851</v>
      </c>
      <c r="G1444">
        <v>91425</v>
      </c>
    </row>
    <row r="1445" spans="1:7" x14ac:dyDescent="0.25">
      <c r="A1445">
        <v>12067</v>
      </c>
      <c r="B1445" t="s">
        <v>365</v>
      </c>
      <c r="C1445" s="1">
        <v>44827</v>
      </c>
      <c r="D1445" s="1">
        <v>117974</v>
      </c>
      <c r="E1445">
        <v>179245</v>
      </c>
      <c r="F1445">
        <v>87756</v>
      </c>
      <c r="G1445">
        <v>91489</v>
      </c>
    </row>
    <row r="1446" spans="1:7" x14ac:dyDescent="0.25">
      <c r="A1446">
        <v>12068</v>
      </c>
      <c r="B1446" t="s">
        <v>366</v>
      </c>
      <c r="C1446" s="1">
        <v>43831</v>
      </c>
      <c r="D1446" s="1">
        <v>44111</v>
      </c>
      <c r="E1446">
        <v>99078</v>
      </c>
    </row>
    <row r="1447" spans="1:7" x14ac:dyDescent="0.25">
      <c r="A1447">
        <v>12068</v>
      </c>
      <c r="B1447" t="s">
        <v>366</v>
      </c>
      <c r="C1447" s="1">
        <v>44112</v>
      </c>
      <c r="D1447" s="1">
        <v>44433</v>
      </c>
      <c r="E1447">
        <v>98861</v>
      </c>
    </row>
    <row r="1448" spans="1:7" x14ac:dyDescent="0.25">
      <c r="A1448">
        <v>12068</v>
      </c>
      <c r="B1448" t="s">
        <v>366</v>
      </c>
      <c r="C1448" s="1">
        <v>44434</v>
      </c>
      <c r="D1448" s="1">
        <v>44826</v>
      </c>
      <c r="E1448">
        <v>98808</v>
      </c>
      <c r="F1448">
        <v>49079</v>
      </c>
      <c r="G1448">
        <v>49729</v>
      </c>
    </row>
    <row r="1449" spans="1:7" x14ac:dyDescent="0.25">
      <c r="A1449">
        <v>12068</v>
      </c>
      <c r="B1449" t="s">
        <v>366</v>
      </c>
      <c r="C1449" s="1">
        <v>44827</v>
      </c>
      <c r="D1449" s="1">
        <v>117974</v>
      </c>
      <c r="E1449">
        <v>98829</v>
      </c>
      <c r="F1449">
        <v>49177</v>
      </c>
      <c r="G1449">
        <v>49652</v>
      </c>
    </row>
    <row r="1450" spans="1:7" x14ac:dyDescent="0.25">
      <c r="A1450">
        <v>12069</v>
      </c>
      <c r="B1450" t="s">
        <v>367</v>
      </c>
      <c r="C1450" s="1">
        <v>43831</v>
      </c>
      <c r="D1450" s="1">
        <v>44111</v>
      </c>
      <c r="E1450">
        <v>214664</v>
      </c>
    </row>
    <row r="1451" spans="1:7" x14ac:dyDescent="0.25">
      <c r="A1451">
        <v>12069</v>
      </c>
      <c r="B1451" t="s">
        <v>367</v>
      </c>
      <c r="C1451" s="1">
        <v>44112</v>
      </c>
      <c r="D1451" s="1">
        <v>44433</v>
      </c>
      <c r="E1451">
        <v>216566</v>
      </c>
    </row>
    <row r="1452" spans="1:7" x14ac:dyDescent="0.25">
      <c r="A1452">
        <v>12069</v>
      </c>
      <c r="B1452" t="s">
        <v>367</v>
      </c>
      <c r="C1452" s="1">
        <v>44434</v>
      </c>
      <c r="D1452" s="1">
        <v>44826</v>
      </c>
      <c r="E1452">
        <v>217954</v>
      </c>
      <c r="F1452">
        <v>107877</v>
      </c>
      <c r="G1452">
        <v>110077</v>
      </c>
    </row>
    <row r="1453" spans="1:7" x14ac:dyDescent="0.25">
      <c r="A1453">
        <v>12069</v>
      </c>
      <c r="B1453" t="s">
        <v>367</v>
      </c>
      <c r="C1453" s="1">
        <v>44827</v>
      </c>
      <c r="D1453" s="1">
        <v>117974</v>
      </c>
      <c r="E1453">
        <v>219521</v>
      </c>
      <c r="F1453">
        <v>108577</v>
      </c>
      <c r="G1453">
        <v>110944</v>
      </c>
    </row>
    <row r="1454" spans="1:7" x14ac:dyDescent="0.25">
      <c r="A1454">
        <v>12070</v>
      </c>
      <c r="B1454" t="s">
        <v>368</v>
      </c>
      <c r="C1454" s="1">
        <v>43831</v>
      </c>
      <c r="D1454" s="1">
        <v>44111</v>
      </c>
      <c r="E1454">
        <v>76508</v>
      </c>
    </row>
    <row r="1455" spans="1:7" x14ac:dyDescent="0.25">
      <c r="A1455">
        <v>12070</v>
      </c>
      <c r="B1455" t="s">
        <v>368</v>
      </c>
      <c r="C1455" s="1">
        <v>44112</v>
      </c>
      <c r="D1455" s="1">
        <v>44433</v>
      </c>
      <c r="E1455">
        <v>76158</v>
      </c>
    </row>
    <row r="1456" spans="1:7" x14ac:dyDescent="0.25">
      <c r="A1456">
        <v>12070</v>
      </c>
      <c r="B1456" t="s">
        <v>368</v>
      </c>
      <c r="C1456" s="1">
        <v>44434</v>
      </c>
      <c r="D1456" s="1">
        <v>44826</v>
      </c>
      <c r="E1456">
        <v>76096</v>
      </c>
      <c r="F1456">
        <v>37759</v>
      </c>
      <c r="G1456">
        <v>38337</v>
      </c>
    </row>
    <row r="1457" spans="1:7" x14ac:dyDescent="0.25">
      <c r="A1457">
        <v>12070</v>
      </c>
      <c r="B1457" t="s">
        <v>368</v>
      </c>
      <c r="C1457" s="1">
        <v>44827</v>
      </c>
      <c r="D1457" s="1">
        <v>117974</v>
      </c>
      <c r="E1457">
        <v>75574</v>
      </c>
      <c r="F1457">
        <v>37448</v>
      </c>
      <c r="G1457">
        <v>38126</v>
      </c>
    </row>
    <row r="1458" spans="1:7" x14ac:dyDescent="0.25">
      <c r="A1458">
        <v>12071</v>
      </c>
      <c r="B1458" t="s">
        <v>369</v>
      </c>
      <c r="C1458" s="1">
        <v>43831</v>
      </c>
      <c r="D1458" s="1">
        <v>44111</v>
      </c>
      <c r="E1458">
        <v>114429</v>
      </c>
    </row>
    <row r="1459" spans="1:7" x14ac:dyDescent="0.25">
      <c r="A1459">
        <v>12071</v>
      </c>
      <c r="B1459" t="s">
        <v>369</v>
      </c>
      <c r="C1459" s="1">
        <v>44112</v>
      </c>
      <c r="D1459" s="1">
        <v>44433</v>
      </c>
      <c r="E1459">
        <v>113720</v>
      </c>
    </row>
    <row r="1460" spans="1:7" x14ac:dyDescent="0.25">
      <c r="A1460">
        <v>12071</v>
      </c>
      <c r="B1460" t="s">
        <v>369</v>
      </c>
      <c r="C1460" s="1">
        <v>44434</v>
      </c>
      <c r="D1460" s="1">
        <v>44826</v>
      </c>
      <c r="E1460">
        <v>113011</v>
      </c>
      <c r="F1460">
        <v>55469</v>
      </c>
      <c r="G1460">
        <v>57542</v>
      </c>
    </row>
    <row r="1461" spans="1:7" x14ac:dyDescent="0.25">
      <c r="A1461">
        <v>12071</v>
      </c>
      <c r="B1461" t="s">
        <v>369</v>
      </c>
      <c r="C1461" s="1">
        <v>44827</v>
      </c>
      <c r="D1461" s="1">
        <v>117974</v>
      </c>
      <c r="E1461">
        <v>111955</v>
      </c>
      <c r="F1461">
        <v>54945</v>
      </c>
      <c r="G1461">
        <v>57010</v>
      </c>
    </row>
    <row r="1462" spans="1:7" x14ac:dyDescent="0.25">
      <c r="A1462">
        <v>12072</v>
      </c>
      <c r="B1462" t="s">
        <v>370</v>
      </c>
      <c r="C1462" s="1">
        <v>43831</v>
      </c>
      <c r="D1462" s="1">
        <v>44111</v>
      </c>
      <c r="E1462">
        <v>168296</v>
      </c>
    </row>
    <row r="1463" spans="1:7" x14ac:dyDescent="0.25">
      <c r="A1463">
        <v>12072</v>
      </c>
      <c r="B1463" t="s">
        <v>370</v>
      </c>
      <c r="C1463" s="1">
        <v>44112</v>
      </c>
      <c r="D1463" s="1">
        <v>44433</v>
      </c>
      <c r="E1463">
        <v>169997</v>
      </c>
    </row>
    <row r="1464" spans="1:7" x14ac:dyDescent="0.25">
      <c r="A1464">
        <v>12072</v>
      </c>
      <c r="B1464" t="s">
        <v>370</v>
      </c>
      <c r="C1464" s="1">
        <v>44434</v>
      </c>
      <c r="D1464" s="1">
        <v>44826</v>
      </c>
      <c r="E1464">
        <v>171554</v>
      </c>
      <c r="F1464">
        <v>85609</v>
      </c>
      <c r="G1464">
        <v>85945</v>
      </c>
    </row>
    <row r="1465" spans="1:7" x14ac:dyDescent="0.25">
      <c r="A1465">
        <v>12072</v>
      </c>
      <c r="B1465" t="s">
        <v>370</v>
      </c>
      <c r="C1465" s="1">
        <v>44827</v>
      </c>
      <c r="D1465" s="1">
        <v>117974</v>
      </c>
      <c r="E1465">
        <v>172545</v>
      </c>
      <c r="F1465">
        <v>86006</v>
      </c>
      <c r="G1465">
        <v>86539</v>
      </c>
    </row>
    <row r="1466" spans="1:7" x14ac:dyDescent="0.25">
      <c r="A1466">
        <v>12073</v>
      </c>
      <c r="B1466" t="s">
        <v>371</v>
      </c>
      <c r="C1466" s="1">
        <v>43831</v>
      </c>
      <c r="D1466" s="1">
        <v>44111</v>
      </c>
      <c r="E1466">
        <v>119552</v>
      </c>
    </row>
    <row r="1467" spans="1:7" x14ac:dyDescent="0.25">
      <c r="A1467">
        <v>12073</v>
      </c>
      <c r="B1467" t="s">
        <v>371</v>
      </c>
      <c r="C1467" s="1">
        <v>44112</v>
      </c>
      <c r="D1467" s="1">
        <v>44433</v>
      </c>
      <c r="E1467">
        <v>118947</v>
      </c>
    </row>
    <row r="1468" spans="1:7" x14ac:dyDescent="0.25">
      <c r="A1468">
        <v>12073</v>
      </c>
      <c r="B1468" t="s">
        <v>371</v>
      </c>
      <c r="C1468" s="1">
        <v>44434</v>
      </c>
      <c r="D1468" s="1">
        <v>44826</v>
      </c>
      <c r="E1468">
        <v>118250</v>
      </c>
      <c r="F1468">
        <v>57998</v>
      </c>
      <c r="G1468">
        <v>60252</v>
      </c>
    </row>
    <row r="1469" spans="1:7" x14ac:dyDescent="0.25">
      <c r="A1469">
        <v>12073</v>
      </c>
      <c r="B1469" t="s">
        <v>371</v>
      </c>
      <c r="C1469" s="1">
        <v>44827</v>
      </c>
      <c r="D1469" s="1">
        <v>117974</v>
      </c>
      <c r="E1469">
        <v>117336</v>
      </c>
      <c r="F1469">
        <v>57387</v>
      </c>
      <c r="G1469">
        <v>59949</v>
      </c>
    </row>
    <row r="1470" spans="1:7" x14ac:dyDescent="0.25">
      <c r="A1470">
        <v>13</v>
      </c>
      <c r="B1470" t="s">
        <v>372</v>
      </c>
      <c r="C1470" s="1">
        <v>43831</v>
      </c>
      <c r="D1470" s="1">
        <v>44111</v>
      </c>
      <c r="E1470">
        <v>1609675</v>
      </c>
    </row>
    <row r="1471" spans="1:7" x14ac:dyDescent="0.25">
      <c r="A1471">
        <v>13</v>
      </c>
      <c r="B1471" t="s">
        <v>372</v>
      </c>
      <c r="C1471" s="1">
        <v>44112</v>
      </c>
      <c r="D1471" s="1">
        <v>44433</v>
      </c>
      <c r="E1471">
        <v>1608138</v>
      </c>
    </row>
    <row r="1472" spans="1:7" x14ac:dyDescent="0.25">
      <c r="A1472">
        <v>13</v>
      </c>
      <c r="B1472" t="s">
        <v>372</v>
      </c>
      <c r="C1472" s="1">
        <v>44434</v>
      </c>
      <c r="D1472" s="1">
        <v>44826</v>
      </c>
      <c r="E1472">
        <v>1610774</v>
      </c>
      <c r="F1472">
        <v>793537</v>
      </c>
      <c r="G1472">
        <v>817237</v>
      </c>
    </row>
    <row r="1473" spans="1:7" x14ac:dyDescent="0.25">
      <c r="A1473">
        <v>13</v>
      </c>
      <c r="B1473" t="s">
        <v>372</v>
      </c>
      <c r="C1473" s="1">
        <v>44827</v>
      </c>
      <c r="D1473" s="1">
        <v>117974</v>
      </c>
      <c r="E1473">
        <v>1611160</v>
      </c>
      <c r="F1473">
        <v>793443</v>
      </c>
      <c r="G1473">
        <v>817717</v>
      </c>
    </row>
    <row r="1474" spans="1:7" x14ac:dyDescent="0.25">
      <c r="A1474">
        <v>13003</v>
      </c>
      <c r="B1474" t="s">
        <v>373</v>
      </c>
      <c r="C1474" s="1">
        <v>43831</v>
      </c>
      <c r="D1474" s="1">
        <v>44111</v>
      </c>
      <c r="E1474">
        <v>208886</v>
      </c>
    </row>
    <row r="1475" spans="1:7" x14ac:dyDescent="0.25">
      <c r="A1475">
        <v>13003</v>
      </c>
      <c r="B1475" t="s">
        <v>373</v>
      </c>
      <c r="C1475" s="1">
        <v>44112</v>
      </c>
      <c r="D1475" s="1">
        <v>44433</v>
      </c>
      <c r="E1475">
        <v>209191</v>
      </c>
    </row>
    <row r="1476" spans="1:7" x14ac:dyDescent="0.25">
      <c r="A1476">
        <v>13003</v>
      </c>
      <c r="B1476" t="s">
        <v>373</v>
      </c>
      <c r="C1476" s="1">
        <v>44434</v>
      </c>
      <c r="D1476" s="1">
        <v>44826</v>
      </c>
      <c r="E1476">
        <v>209061</v>
      </c>
      <c r="F1476">
        <v>102963</v>
      </c>
      <c r="G1476">
        <v>106098</v>
      </c>
    </row>
    <row r="1477" spans="1:7" x14ac:dyDescent="0.25">
      <c r="A1477">
        <v>13003</v>
      </c>
      <c r="B1477" t="s">
        <v>373</v>
      </c>
      <c r="C1477" s="1">
        <v>44827</v>
      </c>
      <c r="D1477" s="1">
        <v>117974</v>
      </c>
      <c r="E1477">
        <v>208400</v>
      </c>
      <c r="F1477">
        <v>102559</v>
      </c>
      <c r="G1477">
        <v>105841</v>
      </c>
    </row>
    <row r="1478" spans="1:7" x14ac:dyDescent="0.25">
      <c r="A1478">
        <v>13004</v>
      </c>
      <c r="B1478" t="s">
        <v>374</v>
      </c>
      <c r="C1478" s="1">
        <v>43831</v>
      </c>
      <c r="D1478" s="1">
        <v>44111</v>
      </c>
      <c r="E1478">
        <v>95818</v>
      </c>
    </row>
    <row r="1479" spans="1:7" x14ac:dyDescent="0.25">
      <c r="A1479">
        <v>13004</v>
      </c>
      <c r="B1479" t="s">
        <v>374</v>
      </c>
      <c r="C1479" s="1">
        <v>44112</v>
      </c>
      <c r="D1479" s="1">
        <v>44433</v>
      </c>
      <c r="E1479">
        <v>95653</v>
      </c>
    </row>
    <row r="1480" spans="1:7" x14ac:dyDescent="0.25">
      <c r="A1480">
        <v>13004</v>
      </c>
      <c r="B1480" t="s">
        <v>374</v>
      </c>
      <c r="C1480" s="1">
        <v>44434</v>
      </c>
      <c r="D1480" s="1">
        <v>44826</v>
      </c>
      <c r="E1480">
        <v>95609</v>
      </c>
      <c r="F1480">
        <v>45919</v>
      </c>
      <c r="G1480">
        <v>49690</v>
      </c>
    </row>
    <row r="1481" spans="1:7" x14ac:dyDescent="0.25">
      <c r="A1481">
        <v>13004</v>
      </c>
      <c r="B1481" t="s">
        <v>374</v>
      </c>
      <c r="C1481" s="1">
        <v>44827</v>
      </c>
      <c r="D1481" s="1">
        <v>117974</v>
      </c>
      <c r="E1481">
        <v>95740</v>
      </c>
      <c r="F1481">
        <v>45944</v>
      </c>
      <c r="G1481">
        <v>49796</v>
      </c>
    </row>
    <row r="1482" spans="1:7" x14ac:dyDescent="0.25">
      <c r="A1482">
        <v>13071</v>
      </c>
      <c r="B1482" t="s">
        <v>375</v>
      </c>
      <c r="C1482" s="1">
        <v>43831</v>
      </c>
      <c r="D1482" s="1">
        <v>44111</v>
      </c>
      <c r="E1482">
        <v>259130</v>
      </c>
    </row>
    <row r="1483" spans="1:7" x14ac:dyDescent="0.25">
      <c r="A1483">
        <v>13071</v>
      </c>
      <c r="B1483" t="s">
        <v>375</v>
      </c>
      <c r="C1483" s="1">
        <v>44112</v>
      </c>
      <c r="D1483" s="1">
        <v>44433</v>
      </c>
      <c r="E1483">
        <v>258074</v>
      </c>
    </row>
    <row r="1484" spans="1:7" x14ac:dyDescent="0.25">
      <c r="A1484">
        <v>13071</v>
      </c>
      <c r="B1484" t="s">
        <v>375</v>
      </c>
      <c r="C1484" s="1">
        <v>44434</v>
      </c>
      <c r="D1484" s="1">
        <v>44826</v>
      </c>
      <c r="E1484">
        <v>258057</v>
      </c>
      <c r="F1484">
        <v>126653</v>
      </c>
      <c r="G1484">
        <v>131404</v>
      </c>
    </row>
    <row r="1485" spans="1:7" x14ac:dyDescent="0.25">
      <c r="A1485">
        <v>13071</v>
      </c>
      <c r="B1485" t="s">
        <v>375</v>
      </c>
      <c r="C1485" s="1">
        <v>44827</v>
      </c>
      <c r="D1485" s="1">
        <v>117974</v>
      </c>
      <c r="E1485">
        <v>257525</v>
      </c>
      <c r="F1485">
        <v>126475</v>
      </c>
      <c r="G1485">
        <v>131050</v>
      </c>
    </row>
    <row r="1486" spans="1:7" x14ac:dyDescent="0.25">
      <c r="A1486">
        <v>13072</v>
      </c>
      <c r="B1486" t="s">
        <v>376</v>
      </c>
      <c r="C1486" s="1">
        <v>43831</v>
      </c>
      <c r="D1486" s="1">
        <v>44111</v>
      </c>
      <c r="E1486">
        <v>215113</v>
      </c>
    </row>
    <row r="1487" spans="1:7" x14ac:dyDescent="0.25">
      <c r="A1487">
        <v>13072</v>
      </c>
      <c r="B1487" t="s">
        <v>376</v>
      </c>
      <c r="C1487" s="1">
        <v>44112</v>
      </c>
      <c r="D1487" s="1">
        <v>44433</v>
      </c>
      <c r="E1487">
        <v>215794</v>
      </c>
    </row>
    <row r="1488" spans="1:7" x14ac:dyDescent="0.25">
      <c r="A1488">
        <v>13072</v>
      </c>
      <c r="B1488" t="s">
        <v>376</v>
      </c>
      <c r="C1488" s="1">
        <v>44434</v>
      </c>
      <c r="D1488" s="1">
        <v>44826</v>
      </c>
      <c r="E1488">
        <v>217072</v>
      </c>
      <c r="F1488">
        <v>107764</v>
      </c>
      <c r="G1488">
        <v>109308</v>
      </c>
    </row>
    <row r="1489" spans="1:7" x14ac:dyDescent="0.25">
      <c r="A1489">
        <v>13072</v>
      </c>
      <c r="B1489" t="s">
        <v>376</v>
      </c>
      <c r="C1489" s="1">
        <v>44827</v>
      </c>
      <c r="D1489" s="1">
        <v>117974</v>
      </c>
      <c r="E1489">
        <v>217796</v>
      </c>
      <c r="F1489">
        <v>108035</v>
      </c>
      <c r="G1489">
        <v>109761</v>
      </c>
    </row>
    <row r="1490" spans="1:7" x14ac:dyDescent="0.25">
      <c r="A1490">
        <v>13073</v>
      </c>
      <c r="B1490" t="s">
        <v>377</v>
      </c>
      <c r="C1490" s="1">
        <v>43831</v>
      </c>
      <c r="D1490" s="1">
        <v>44111</v>
      </c>
      <c r="E1490">
        <v>224684</v>
      </c>
    </row>
    <row r="1491" spans="1:7" x14ac:dyDescent="0.25">
      <c r="A1491">
        <v>13073</v>
      </c>
      <c r="B1491" t="s">
        <v>377</v>
      </c>
      <c r="C1491" s="1">
        <v>44112</v>
      </c>
      <c r="D1491" s="1">
        <v>44433</v>
      </c>
      <c r="E1491">
        <v>224702</v>
      </c>
    </row>
    <row r="1492" spans="1:7" x14ac:dyDescent="0.25">
      <c r="A1492">
        <v>13073</v>
      </c>
      <c r="B1492" t="s">
        <v>377</v>
      </c>
      <c r="C1492" s="1">
        <v>44434</v>
      </c>
      <c r="D1492" s="1">
        <v>44826</v>
      </c>
      <c r="E1492">
        <v>225383</v>
      </c>
      <c r="F1492">
        <v>110540</v>
      </c>
      <c r="G1492">
        <v>114843</v>
      </c>
    </row>
    <row r="1493" spans="1:7" x14ac:dyDescent="0.25">
      <c r="A1493">
        <v>13073</v>
      </c>
      <c r="B1493" t="s">
        <v>377</v>
      </c>
      <c r="C1493" s="1">
        <v>44827</v>
      </c>
      <c r="D1493" s="1">
        <v>117974</v>
      </c>
      <c r="E1493">
        <v>225900</v>
      </c>
      <c r="F1493">
        <v>110687</v>
      </c>
      <c r="G1493">
        <v>115213</v>
      </c>
    </row>
    <row r="1494" spans="1:7" x14ac:dyDescent="0.25">
      <c r="A1494">
        <v>13074</v>
      </c>
      <c r="B1494" t="s">
        <v>378</v>
      </c>
      <c r="C1494" s="1">
        <v>43831</v>
      </c>
      <c r="D1494" s="1">
        <v>44111</v>
      </c>
      <c r="E1494">
        <v>156729</v>
      </c>
    </row>
    <row r="1495" spans="1:7" x14ac:dyDescent="0.25">
      <c r="A1495">
        <v>13074</v>
      </c>
      <c r="B1495" t="s">
        <v>378</v>
      </c>
      <c r="C1495" s="1">
        <v>44112</v>
      </c>
      <c r="D1495" s="1">
        <v>44433</v>
      </c>
      <c r="E1495">
        <v>157322</v>
      </c>
    </row>
    <row r="1496" spans="1:7" x14ac:dyDescent="0.25">
      <c r="A1496">
        <v>13074</v>
      </c>
      <c r="B1496" t="s">
        <v>378</v>
      </c>
      <c r="C1496" s="1">
        <v>44434</v>
      </c>
      <c r="D1496" s="1">
        <v>44826</v>
      </c>
      <c r="E1496">
        <v>157975</v>
      </c>
      <c r="F1496">
        <v>78524</v>
      </c>
      <c r="G1496">
        <v>79451</v>
      </c>
    </row>
    <row r="1497" spans="1:7" x14ac:dyDescent="0.25">
      <c r="A1497">
        <v>13074</v>
      </c>
      <c r="B1497" t="s">
        <v>378</v>
      </c>
      <c r="C1497" s="1">
        <v>44827</v>
      </c>
      <c r="D1497" s="1">
        <v>117974</v>
      </c>
      <c r="E1497">
        <v>158449</v>
      </c>
      <c r="F1497">
        <v>78839</v>
      </c>
      <c r="G1497">
        <v>79610</v>
      </c>
    </row>
    <row r="1498" spans="1:7" x14ac:dyDescent="0.25">
      <c r="A1498">
        <v>13075</v>
      </c>
      <c r="B1498" t="s">
        <v>379</v>
      </c>
      <c r="C1498" s="1">
        <v>43831</v>
      </c>
      <c r="D1498" s="1">
        <v>44111</v>
      </c>
      <c r="E1498">
        <v>236697</v>
      </c>
    </row>
    <row r="1499" spans="1:7" x14ac:dyDescent="0.25">
      <c r="A1499">
        <v>13075</v>
      </c>
      <c r="B1499" t="s">
        <v>379</v>
      </c>
      <c r="C1499" s="1">
        <v>44112</v>
      </c>
      <c r="D1499" s="1">
        <v>44433</v>
      </c>
      <c r="E1499">
        <v>235623</v>
      </c>
    </row>
    <row r="1500" spans="1:7" x14ac:dyDescent="0.25">
      <c r="A1500">
        <v>13075</v>
      </c>
      <c r="B1500" t="s">
        <v>379</v>
      </c>
      <c r="C1500" s="1">
        <v>44434</v>
      </c>
      <c r="D1500" s="1">
        <v>44826</v>
      </c>
      <c r="E1500">
        <v>235773</v>
      </c>
      <c r="F1500">
        <v>115377</v>
      </c>
      <c r="G1500">
        <v>120396</v>
      </c>
    </row>
    <row r="1501" spans="1:7" x14ac:dyDescent="0.25">
      <c r="A1501">
        <v>13075</v>
      </c>
      <c r="B1501" t="s">
        <v>379</v>
      </c>
      <c r="C1501" s="1">
        <v>44827</v>
      </c>
      <c r="D1501" s="1">
        <v>117974</v>
      </c>
      <c r="E1501">
        <v>235451</v>
      </c>
      <c r="F1501">
        <v>115084</v>
      </c>
      <c r="G1501">
        <v>120367</v>
      </c>
    </row>
    <row r="1502" spans="1:7" x14ac:dyDescent="0.25">
      <c r="A1502">
        <v>13076</v>
      </c>
      <c r="B1502" t="s">
        <v>380</v>
      </c>
      <c r="C1502" s="1">
        <v>43831</v>
      </c>
      <c r="D1502" s="1">
        <v>44111</v>
      </c>
      <c r="E1502">
        <v>212618</v>
      </c>
    </row>
    <row r="1503" spans="1:7" x14ac:dyDescent="0.25">
      <c r="A1503">
        <v>13076</v>
      </c>
      <c r="B1503" t="s">
        <v>380</v>
      </c>
      <c r="C1503" s="1">
        <v>44112</v>
      </c>
      <c r="D1503" s="1">
        <v>44433</v>
      </c>
      <c r="E1503">
        <v>211779</v>
      </c>
    </row>
    <row r="1504" spans="1:7" x14ac:dyDescent="0.25">
      <c r="A1504">
        <v>13076</v>
      </c>
      <c r="B1504" t="s">
        <v>380</v>
      </c>
      <c r="C1504" s="1">
        <v>44434</v>
      </c>
      <c r="D1504" s="1">
        <v>44826</v>
      </c>
      <c r="E1504">
        <v>211844</v>
      </c>
      <c r="F1504">
        <v>105797</v>
      </c>
      <c r="G1504">
        <v>106047</v>
      </c>
    </row>
    <row r="1505" spans="1:7" x14ac:dyDescent="0.25">
      <c r="A1505">
        <v>13076</v>
      </c>
      <c r="B1505" t="s">
        <v>380</v>
      </c>
      <c r="C1505" s="1">
        <v>44827</v>
      </c>
      <c r="D1505" s="1">
        <v>117974</v>
      </c>
      <c r="E1505">
        <v>211899</v>
      </c>
      <c r="F1505">
        <v>105820</v>
      </c>
      <c r="G1505">
        <v>106079</v>
      </c>
    </row>
    <row r="1506" spans="1:7" x14ac:dyDescent="0.25">
      <c r="A1506">
        <v>14</v>
      </c>
      <c r="B1506" t="s">
        <v>381</v>
      </c>
      <c r="C1506" s="1">
        <v>43831</v>
      </c>
      <c r="D1506" s="1">
        <v>44111</v>
      </c>
      <c r="E1506">
        <v>4077937</v>
      </c>
    </row>
    <row r="1507" spans="1:7" x14ac:dyDescent="0.25">
      <c r="A1507">
        <v>14</v>
      </c>
      <c r="B1507" t="s">
        <v>381</v>
      </c>
      <c r="C1507" s="1">
        <v>44112</v>
      </c>
      <c r="D1507" s="1">
        <v>44433</v>
      </c>
      <c r="E1507">
        <v>4071971</v>
      </c>
    </row>
    <row r="1508" spans="1:7" x14ac:dyDescent="0.25">
      <c r="A1508">
        <v>14</v>
      </c>
      <c r="B1508" t="s">
        <v>381</v>
      </c>
      <c r="C1508" s="1">
        <v>44434</v>
      </c>
      <c r="D1508" s="1">
        <v>44826</v>
      </c>
      <c r="E1508">
        <v>4056941</v>
      </c>
      <c r="F1508">
        <v>1999026</v>
      </c>
      <c r="G1508">
        <v>2057915</v>
      </c>
    </row>
    <row r="1509" spans="1:7" x14ac:dyDescent="0.25">
      <c r="A1509">
        <v>14</v>
      </c>
      <c r="B1509" t="s">
        <v>381</v>
      </c>
      <c r="C1509" s="1">
        <v>44827</v>
      </c>
      <c r="D1509" s="1">
        <v>117974</v>
      </c>
      <c r="E1509">
        <v>4043002</v>
      </c>
      <c r="F1509">
        <v>1992884</v>
      </c>
      <c r="G1509">
        <v>2050118</v>
      </c>
    </row>
    <row r="1510" spans="1:7" x14ac:dyDescent="0.25">
      <c r="A1510">
        <v>14511</v>
      </c>
      <c r="B1510" t="s">
        <v>382</v>
      </c>
      <c r="C1510" s="1">
        <v>43831</v>
      </c>
      <c r="D1510" s="1">
        <v>44111</v>
      </c>
      <c r="E1510">
        <v>247237</v>
      </c>
    </row>
    <row r="1511" spans="1:7" x14ac:dyDescent="0.25">
      <c r="A1511">
        <v>14511</v>
      </c>
      <c r="B1511" t="s">
        <v>382</v>
      </c>
      <c r="C1511" s="1">
        <v>44112</v>
      </c>
      <c r="D1511" s="1">
        <v>44433</v>
      </c>
      <c r="E1511">
        <v>246334</v>
      </c>
    </row>
    <row r="1512" spans="1:7" x14ac:dyDescent="0.25">
      <c r="A1512">
        <v>14511</v>
      </c>
      <c r="B1512" t="s">
        <v>382</v>
      </c>
      <c r="C1512" s="1">
        <v>44434</v>
      </c>
      <c r="D1512" s="1">
        <v>44826</v>
      </c>
      <c r="E1512">
        <v>244401</v>
      </c>
      <c r="F1512">
        <v>120959</v>
      </c>
      <c r="G1512">
        <v>123442</v>
      </c>
    </row>
    <row r="1513" spans="1:7" x14ac:dyDescent="0.25">
      <c r="A1513">
        <v>14511</v>
      </c>
      <c r="B1513" t="s">
        <v>382</v>
      </c>
      <c r="C1513" s="1">
        <v>44827</v>
      </c>
      <c r="D1513" s="1">
        <v>117974</v>
      </c>
      <c r="E1513">
        <v>243105</v>
      </c>
      <c r="F1513">
        <v>120364</v>
      </c>
      <c r="G1513">
        <v>122741</v>
      </c>
    </row>
    <row r="1514" spans="1:7" x14ac:dyDescent="0.25">
      <c r="A1514">
        <v>14521</v>
      </c>
      <c r="B1514" t="s">
        <v>383</v>
      </c>
      <c r="C1514" s="1">
        <v>43831</v>
      </c>
      <c r="D1514" s="1">
        <v>44111</v>
      </c>
      <c r="E1514">
        <v>337696</v>
      </c>
    </row>
    <row r="1515" spans="1:7" x14ac:dyDescent="0.25">
      <c r="A1515">
        <v>14521</v>
      </c>
      <c r="B1515" t="s">
        <v>383</v>
      </c>
      <c r="C1515" s="1">
        <v>44112</v>
      </c>
      <c r="D1515" s="1">
        <v>44433</v>
      </c>
      <c r="E1515">
        <v>334948</v>
      </c>
    </row>
    <row r="1516" spans="1:7" x14ac:dyDescent="0.25">
      <c r="A1516">
        <v>14521</v>
      </c>
      <c r="B1516" t="s">
        <v>383</v>
      </c>
      <c r="C1516" s="1">
        <v>44434</v>
      </c>
      <c r="D1516" s="1">
        <v>44826</v>
      </c>
      <c r="E1516">
        <v>331917</v>
      </c>
      <c r="F1516">
        <v>162445</v>
      </c>
      <c r="G1516">
        <v>169472</v>
      </c>
    </row>
    <row r="1517" spans="1:7" x14ac:dyDescent="0.25">
      <c r="A1517">
        <v>14521</v>
      </c>
      <c r="B1517" t="s">
        <v>383</v>
      </c>
      <c r="C1517" s="1">
        <v>44827</v>
      </c>
      <c r="D1517" s="1">
        <v>117974</v>
      </c>
      <c r="E1517">
        <v>328695</v>
      </c>
      <c r="F1517">
        <v>160912</v>
      </c>
      <c r="G1517">
        <v>167783</v>
      </c>
    </row>
    <row r="1518" spans="1:7" x14ac:dyDescent="0.25">
      <c r="A1518">
        <v>14522</v>
      </c>
      <c r="B1518" t="s">
        <v>384</v>
      </c>
      <c r="C1518" s="1">
        <v>43831</v>
      </c>
      <c r="D1518" s="1">
        <v>44111</v>
      </c>
      <c r="E1518">
        <v>306185</v>
      </c>
    </row>
    <row r="1519" spans="1:7" x14ac:dyDescent="0.25">
      <c r="A1519">
        <v>14522</v>
      </c>
      <c r="B1519" t="s">
        <v>384</v>
      </c>
      <c r="C1519" s="1">
        <v>44112</v>
      </c>
      <c r="D1519" s="1">
        <v>44433</v>
      </c>
      <c r="E1519">
        <v>304099</v>
      </c>
    </row>
    <row r="1520" spans="1:7" x14ac:dyDescent="0.25">
      <c r="A1520">
        <v>14522</v>
      </c>
      <c r="B1520" t="s">
        <v>384</v>
      </c>
      <c r="C1520" s="1">
        <v>44434</v>
      </c>
      <c r="D1520" s="1">
        <v>44826</v>
      </c>
      <c r="E1520">
        <v>301474</v>
      </c>
      <c r="F1520">
        <v>149895</v>
      </c>
      <c r="G1520">
        <v>151579</v>
      </c>
    </row>
    <row r="1521" spans="1:7" x14ac:dyDescent="0.25">
      <c r="A1521">
        <v>14522</v>
      </c>
      <c r="B1521" t="s">
        <v>384</v>
      </c>
      <c r="C1521" s="1">
        <v>44827</v>
      </c>
      <c r="D1521" s="1">
        <v>117974</v>
      </c>
      <c r="E1521">
        <v>299329</v>
      </c>
      <c r="F1521">
        <v>148921</v>
      </c>
      <c r="G1521">
        <v>150408</v>
      </c>
    </row>
    <row r="1522" spans="1:7" x14ac:dyDescent="0.25">
      <c r="A1522">
        <v>14523</v>
      </c>
      <c r="B1522" t="s">
        <v>385</v>
      </c>
      <c r="C1522" s="1">
        <v>43831</v>
      </c>
      <c r="D1522" s="1">
        <v>44111</v>
      </c>
      <c r="E1522">
        <v>227796</v>
      </c>
    </row>
    <row r="1523" spans="1:7" x14ac:dyDescent="0.25">
      <c r="A1523">
        <v>14523</v>
      </c>
      <c r="B1523" t="s">
        <v>385</v>
      </c>
      <c r="C1523" s="1">
        <v>44112</v>
      </c>
      <c r="D1523" s="1">
        <v>44433</v>
      </c>
      <c r="E1523">
        <v>225997</v>
      </c>
    </row>
    <row r="1524" spans="1:7" x14ac:dyDescent="0.25">
      <c r="A1524">
        <v>14523</v>
      </c>
      <c r="B1524" t="s">
        <v>385</v>
      </c>
      <c r="C1524" s="1">
        <v>44434</v>
      </c>
      <c r="D1524" s="1">
        <v>44826</v>
      </c>
      <c r="E1524">
        <v>223905</v>
      </c>
      <c r="F1524">
        <v>109204</v>
      </c>
      <c r="G1524">
        <v>114701</v>
      </c>
    </row>
    <row r="1525" spans="1:7" x14ac:dyDescent="0.25">
      <c r="A1525">
        <v>14523</v>
      </c>
      <c r="B1525" t="s">
        <v>385</v>
      </c>
      <c r="C1525" s="1">
        <v>44827</v>
      </c>
      <c r="D1525" s="1">
        <v>117974</v>
      </c>
      <c r="E1525">
        <v>221376</v>
      </c>
      <c r="F1525">
        <v>108012</v>
      </c>
      <c r="G1525">
        <v>113364</v>
      </c>
    </row>
    <row r="1526" spans="1:7" x14ac:dyDescent="0.25">
      <c r="A1526">
        <v>14524</v>
      </c>
      <c r="B1526" t="s">
        <v>386</v>
      </c>
      <c r="C1526" s="1">
        <v>43831</v>
      </c>
      <c r="D1526" s="1">
        <v>44111</v>
      </c>
      <c r="E1526">
        <v>317531</v>
      </c>
    </row>
    <row r="1527" spans="1:7" x14ac:dyDescent="0.25">
      <c r="A1527">
        <v>14524</v>
      </c>
      <c r="B1527" t="s">
        <v>386</v>
      </c>
      <c r="C1527" s="1">
        <v>44112</v>
      </c>
      <c r="D1527" s="1">
        <v>44433</v>
      </c>
      <c r="E1527">
        <v>315002</v>
      </c>
    </row>
    <row r="1528" spans="1:7" x14ac:dyDescent="0.25">
      <c r="A1528">
        <v>14524</v>
      </c>
      <c r="B1528" t="s">
        <v>386</v>
      </c>
      <c r="C1528" s="1">
        <v>44434</v>
      </c>
      <c r="D1528" s="1">
        <v>44826</v>
      </c>
      <c r="E1528">
        <v>312033</v>
      </c>
      <c r="F1528">
        <v>152268</v>
      </c>
      <c r="G1528">
        <v>159765</v>
      </c>
    </row>
    <row r="1529" spans="1:7" x14ac:dyDescent="0.25">
      <c r="A1529">
        <v>14524</v>
      </c>
      <c r="B1529" t="s">
        <v>386</v>
      </c>
      <c r="C1529" s="1">
        <v>44827</v>
      </c>
      <c r="D1529" s="1">
        <v>117974</v>
      </c>
      <c r="E1529">
        <v>309621</v>
      </c>
      <c r="F1529">
        <v>151258</v>
      </c>
      <c r="G1529">
        <v>158363</v>
      </c>
    </row>
    <row r="1530" spans="1:7" x14ac:dyDescent="0.25">
      <c r="A1530">
        <v>14612</v>
      </c>
      <c r="B1530" t="s">
        <v>387</v>
      </c>
      <c r="C1530" s="1">
        <v>43831</v>
      </c>
      <c r="D1530" s="1">
        <v>44111</v>
      </c>
      <c r="E1530">
        <v>554649</v>
      </c>
    </row>
    <row r="1531" spans="1:7" x14ac:dyDescent="0.25">
      <c r="A1531">
        <v>14612</v>
      </c>
      <c r="B1531" t="s">
        <v>387</v>
      </c>
      <c r="C1531" s="1">
        <v>44112</v>
      </c>
      <c r="D1531" s="1">
        <v>44433</v>
      </c>
      <c r="E1531">
        <v>556780</v>
      </c>
    </row>
    <row r="1532" spans="1:7" x14ac:dyDescent="0.25">
      <c r="A1532">
        <v>14612</v>
      </c>
      <c r="B1532" t="s">
        <v>387</v>
      </c>
      <c r="C1532" s="1">
        <v>44434</v>
      </c>
      <c r="D1532" s="1">
        <v>44826</v>
      </c>
      <c r="E1532">
        <v>556227</v>
      </c>
      <c r="F1532">
        <v>277060</v>
      </c>
      <c r="G1532">
        <v>279167</v>
      </c>
    </row>
    <row r="1533" spans="1:7" x14ac:dyDescent="0.25">
      <c r="A1533">
        <v>14612</v>
      </c>
      <c r="B1533" t="s">
        <v>387</v>
      </c>
      <c r="C1533" s="1">
        <v>44827</v>
      </c>
      <c r="D1533" s="1">
        <v>117974</v>
      </c>
      <c r="E1533">
        <v>555351</v>
      </c>
      <c r="F1533">
        <v>276419</v>
      </c>
      <c r="G1533">
        <v>278932</v>
      </c>
    </row>
    <row r="1534" spans="1:7" x14ac:dyDescent="0.25">
      <c r="A1534">
        <v>14625</v>
      </c>
      <c r="B1534" t="s">
        <v>388</v>
      </c>
      <c r="C1534" s="1">
        <v>43831</v>
      </c>
      <c r="D1534" s="1">
        <v>44111</v>
      </c>
      <c r="E1534">
        <v>300880</v>
      </c>
    </row>
    <row r="1535" spans="1:7" x14ac:dyDescent="0.25">
      <c r="A1535">
        <v>14625</v>
      </c>
      <c r="B1535" t="s">
        <v>388</v>
      </c>
      <c r="C1535" s="1">
        <v>44112</v>
      </c>
      <c r="D1535" s="1">
        <v>44433</v>
      </c>
      <c r="E1535">
        <v>299758</v>
      </c>
    </row>
    <row r="1536" spans="1:7" x14ac:dyDescent="0.25">
      <c r="A1536">
        <v>14625</v>
      </c>
      <c r="B1536" t="s">
        <v>388</v>
      </c>
      <c r="C1536" s="1">
        <v>44434</v>
      </c>
      <c r="D1536" s="1">
        <v>44826</v>
      </c>
      <c r="E1536">
        <v>298010</v>
      </c>
      <c r="F1536">
        <v>147223</v>
      </c>
      <c r="G1536">
        <v>150787</v>
      </c>
    </row>
    <row r="1537" spans="1:7" x14ac:dyDescent="0.25">
      <c r="A1537">
        <v>14625</v>
      </c>
      <c r="B1537" t="s">
        <v>388</v>
      </c>
      <c r="C1537" s="1">
        <v>44827</v>
      </c>
      <c r="D1537" s="1">
        <v>117974</v>
      </c>
      <c r="E1537">
        <v>296290</v>
      </c>
      <c r="F1537">
        <v>146508</v>
      </c>
      <c r="G1537">
        <v>149782</v>
      </c>
    </row>
    <row r="1538" spans="1:7" x14ac:dyDescent="0.25">
      <c r="A1538">
        <v>14626</v>
      </c>
      <c r="B1538" t="s">
        <v>389</v>
      </c>
      <c r="C1538" s="1">
        <v>43831</v>
      </c>
      <c r="D1538" s="1">
        <v>44111</v>
      </c>
      <c r="E1538">
        <v>254894</v>
      </c>
    </row>
    <row r="1539" spans="1:7" x14ac:dyDescent="0.25">
      <c r="A1539">
        <v>14626</v>
      </c>
      <c r="B1539" t="s">
        <v>389</v>
      </c>
      <c r="C1539" s="1">
        <v>44112</v>
      </c>
      <c r="D1539" s="1">
        <v>44433</v>
      </c>
      <c r="E1539">
        <v>252725</v>
      </c>
    </row>
    <row r="1540" spans="1:7" x14ac:dyDescent="0.25">
      <c r="A1540">
        <v>14626</v>
      </c>
      <c r="B1540" t="s">
        <v>389</v>
      </c>
      <c r="C1540" s="1">
        <v>44434</v>
      </c>
      <c r="D1540" s="1">
        <v>44826</v>
      </c>
      <c r="E1540">
        <v>250558</v>
      </c>
      <c r="F1540">
        <v>122809</v>
      </c>
      <c r="G1540">
        <v>127749</v>
      </c>
    </row>
    <row r="1541" spans="1:7" x14ac:dyDescent="0.25">
      <c r="A1541">
        <v>14626</v>
      </c>
      <c r="B1541" t="s">
        <v>389</v>
      </c>
      <c r="C1541" s="1">
        <v>44827</v>
      </c>
      <c r="D1541" s="1">
        <v>117974</v>
      </c>
      <c r="E1541">
        <v>248273</v>
      </c>
      <c r="F1541">
        <v>121718</v>
      </c>
      <c r="G1541">
        <v>126555</v>
      </c>
    </row>
    <row r="1542" spans="1:7" x14ac:dyDescent="0.25">
      <c r="A1542">
        <v>14627</v>
      </c>
      <c r="B1542" t="s">
        <v>390</v>
      </c>
      <c r="C1542" s="1">
        <v>43831</v>
      </c>
      <c r="D1542" s="1">
        <v>44111</v>
      </c>
      <c r="E1542">
        <v>242165</v>
      </c>
    </row>
    <row r="1543" spans="1:7" x14ac:dyDescent="0.25">
      <c r="A1543">
        <v>14627</v>
      </c>
      <c r="B1543" t="s">
        <v>390</v>
      </c>
      <c r="C1543" s="1">
        <v>44112</v>
      </c>
      <c r="D1543" s="1">
        <v>44433</v>
      </c>
      <c r="E1543">
        <v>241717</v>
      </c>
    </row>
    <row r="1544" spans="1:7" x14ac:dyDescent="0.25">
      <c r="A1544">
        <v>14627</v>
      </c>
      <c r="B1544" t="s">
        <v>390</v>
      </c>
      <c r="C1544" s="1">
        <v>44434</v>
      </c>
      <c r="D1544" s="1">
        <v>44826</v>
      </c>
      <c r="E1544">
        <v>240371</v>
      </c>
      <c r="F1544">
        <v>118149</v>
      </c>
      <c r="G1544">
        <v>122222</v>
      </c>
    </row>
    <row r="1545" spans="1:7" x14ac:dyDescent="0.25">
      <c r="A1545">
        <v>14627</v>
      </c>
      <c r="B1545" t="s">
        <v>390</v>
      </c>
      <c r="C1545" s="1">
        <v>44827</v>
      </c>
      <c r="D1545" s="1">
        <v>117974</v>
      </c>
      <c r="E1545">
        <v>239344</v>
      </c>
      <c r="F1545">
        <v>117560</v>
      </c>
      <c r="G1545">
        <v>121784</v>
      </c>
    </row>
    <row r="1546" spans="1:7" x14ac:dyDescent="0.25">
      <c r="A1546">
        <v>14628</v>
      </c>
      <c r="B1546" t="s">
        <v>391</v>
      </c>
      <c r="C1546" s="1">
        <v>43831</v>
      </c>
      <c r="D1546" s="1">
        <v>44111</v>
      </c>
      <c r="E1546">
        <v>245611</v>
      </c>
    </row>
    <row r="1547" spans="1:7" x14ac:dyDescent="0.25">
      <c r="A1547">
        <v>14628</v>
      </c>
      <c r="B1547" t="s">
        <v>391</v>
      </c>
      <c r="C1547" s="1">
        <v>44112</v>
      </c>
      <c r="D1547" s="1">
        <v>44433</v>
      </c>
      <c r="E1547">
        <v>245586</v>
      </c>
    </row>
    <row r="1548" spans="1:7" x14ac:dyDescent="0.25">
      <c r="A1548">
        <v>14628</v>
      </c>
      <c r="B1548" t="s">
        <v>391</v>
      </c>
      <c r="C1548" s="1">
        <v>44434</v>
      </c>
      <c r="D1548" s="1">
        <v>44826</v>
      </c>
      <c r="E1548">
        <v>244722</v>
      </c>
      <c r="F1548">
        <v>120924</v>
      </c>
      <c r="G1548">
        <v>123798</v>
      </c>
    </row>
    <row r="1549" spans="1:7" x14ac:dyDescent="0.25">
      <c r="A1549">
        <v>14628</v>
      </c>
      <c r="B1549" t="s">
        <v>391</v>
      </c>
      <c r="C1549" s="1">
        <v>44827</v>
      </c>
      <c r="D1549" s="1">
        <v>117974</v>
      </c>
      <c r="E1549">
        <v>244009</v>
      </c>
      <c r="F1549">
        <v>120525</v>
      </c>
      <c r="G1549">
        <v>123484</v>
      </c>
    </row>
    <row r="1550" spans="1:7" x14ac:dyDescent="0.25">
      <c r="A1550">
        <v>14713</v>
      </c>
      <c r="B1550" t="s">
        <v>392</v>
      </c>
      <c r="C1550" s="1">
        <v>43831</v>
      </c>
      <c r="D1550" s="1">
        <v>44111</v>
      </c>
      <c r="E1550">
        <v>587857</v>
      </c>
    </row>
    <row r="1551" spans="1:7" x14ac:dyDescent="0.25">
      <c r="A1551">
        <v>14713</v>
      </c>
      <c r="B1551" t="s">
        <v>392</v>
      </c>
      <c r="C1551" s="1">
        <v>44112</v>
      </c>
      <c r="D1551" s="1">
        <v>44433</v>
      </c>
      <c r="E1551">
        <v>593145</v>
      </c>
    </row>
    <row r="1552" spans="1:7" x14ac:dyDescent="0.25">
      <c r="A1552">
        <v>14713</v>
      </c>
      <c r="B1552" t="s">
        <v>392</v>
      </c>
      <c r="C1552" s="1">
        <v>44434</v>
      </c>
      <c r="D1552" s="1">
        <v>44826</v>
      </c>
      <c r="E1552">
        <v>597493</v>
      </c>
      <c r="F1552">
        <v>293522</v>
      </c>
      <c r="G1552">
        <v>303971</v>
      </c>
    </row>
    <row r="1553" spans="1:7" x14ac:dyDescent="0.25">
      <c r="A1553">
        <v>14713</v>
      </c>
      <c r="B1553" t="s">
        <v>392</v>
      </c>
      <c r="C1553" s="1">
        <v>44827</v>
      </c>
      <c r="D1553" s="1">
        <v>117974</v>
      </c>
      <c r="E1553">
        <v>601866</v>
      </c>
      <c r="F1553">
        <v>296110</v>
      </c>
      <c r="G1553">
        <v>305756</v>
      </c>
    </row>
    <row r="1554" spans="1:7" x14ac:dyDescent="0.25">
      <c r="A1554">
        <v>14729</v>
      </c>
      <c r="B1554" t="s">
        <v>393</v>
      </c>
      <c r="C1554" s="1">
        <v>43831</v>
      </c>
      <c r="D1554" s="1">
        <v>44111</v>
      </c>
      <c r="E1554">
        <v>257763</v>
      </c>
    </row>
    <row r="1555" spans="1:7" x14ac:dyDescent="0.25">
      <c r="A1555">
        <v>14729</v>
      </c>
      <c r="B1555" t="s">
        <v>393</v>
      </c>
      <c r="C1555" s="1">
        <v>44112</v>
      </c>
      <c r="D1555" s="1">
        <v>44433</v>
      </c>
      <c r="E1555">
        <v>258139</v>
      </c>
    </row>
    <row r="1556" spans="1:7" x14ac:dyDescent="0.25">
      <c r="A1556">
        <v>14729</v>
      </c>
      <c r="B1556" t="s">
        <v>393</v>
      </c>
      <c r="C1556" s="1">
        <v>44434</v>
      </c>
      <c r="D1556" s="1">
        <v>44826</v>
      </c>
      <c r="E1556">
        <v>258386</v>
      </c>
      <c r="F1556">
        <v>126643</v>
      </c>
      <c r="G1556">
        <v>131743</v>
      </c>
    </row>
    <row r="1557" spans="1:7" x14ac:dyDescent="0.25">
      <c r="A1557">
        <v>14729</v>
      </c>
      <c r="B1557" t="s">
        <v>393</v>
      </c>
      <c r="C1557" s="1">
        <v>44827</v>
      </c>
      <c r="D1557" s="1">
        <v>117974</v>
      </c>
      <c r="E1557">
        <v>258214</v>
      </c>
      <c r="F1557">
        <v>126602</v>
      </c>
      <c r="G1557">
        <v>131612</v>
      </c>
    </row>
    <row r="1558" spans="1:7" x14ac:dyDescent="0.25">
      <c r="A1558">
        <v>14730</v>
      </c>
      <c r="B1558" t="s">
        <v>394</v>
      </c>
      <c r="C1558" s="1">
        <v>43831</v>
      </c>
      <c r="D1558" s="1">
        <v>44111</v>
      </c>
      <c r="E1558">
        <v>197673</v>
      </c>
    </row>
    <row r="1559" spans="1:7" x14ac:dyDescent="0.25">
      <c r="A1559">
        <v>14730</v>
      </c>
      <c r="B1559" t="s">
        <v>394</v>
      </c>
      <c r="C1559" s="1">
        <v>44112</v>
      </c>
      <c r="D1559" s="1">
        <v>44433</v>
      </c>
      <c r="E1559">
        <v>197741</v>
      </c>
    </row>
    <row r="1560" spans="1:7" x14ac:dyDescent="0.25">
      <c r="A1560">
        <v>14730</v>
      </c>
      <c r="B1560" t="s">
        <v>394</v>
      </c>
      <c r="C1560" s="1">
        <v>44434</v>
      </c>
      <c r="D1560" s="1">
        <v>44826</v>
      </c>
      <c r="E1560">
        <v>197444</v>
      </c>
      <c r="F1560">
        <v>97925</v>
      </c>
      <c r="G1560">
        <v>99519</v>
      </c>
    </row>
    <row r="1561" spans="1:7" x14ac:dyDescent="0.25">
      <c r="A1561">
        <v>14730</v>
      </c>
      <c r="B1561" t="s">
        <v>394</v>
      </c>
      <c r="C1561" s="1">
        <v>44827</v>
      </c>
      <c r="D1561" s="1">
        <v>117974</v>
      </c>
      <c r="E1561">
        <v>197529</v>
      </c>
      <c r="F1561">
        <v>97975</v>
      </c>
      <c r="G1561">
        <v>99554</v>
      </c>
    </row>
    <row r="1562" spans="1:7" x14ac:dyDescent="0.25">
      <c r="A1562">
        <v>15</v>
      </c>
      <c r="B1562" t="s">
        <v>395</v>
      </c>
      <c r="C1562" s="1">
        <v>43831</v>
      </c>
      <c r="D1562" s="1">
        <v>44111</v>
      </c>
      <c r="E1562">
        <v>2208321</v>
      </c>
    </row>
    <row r="1563" spans="1:7" x14ac:dyDescent="0.25">
      <c r="A1563">
        <v>15</v>
      </c>
      <c r="B1563" t="s">
        <v>395</v>
      </c>
      <c r="C1563" s="1">
        <v>44112</v>
      </c>
      <c r="D1563" s="1">
        <v>44433</v>
      </c>
      <c r="E1563">
        <v>2194782</v>
      </c>
    </row>
    <row r="1564" spans="1:7" x14ac:dyDescent="0.25">
      <c r="A1564">
        <v>15</v>
      </c>
      <c r="B1564" t="s">
        <v>395</v>
      </c>
      <c r="C1564" s="1">
        <v>44434</v>
      </c>
      <c r="D1564" s="1">
        <v>44826</v>
      </c>
      <c r="E1564">
        <v>2180684</v>
      </c>
      <c r="F1564">
        <v>1072595</v>
      </c>
      <c r="G1564">
        <v>1108089</v>
      </c>
    </row>
    <row r="1565" spans="1:7" x14ac:dyDescent="0.25">
      <c r="A1565">
        <v>15</v>
      </c>
      <c r="B1565" t="s">
        <v>395</v>
      </c>
      <c r="C1565" s="1">
        <v>44827</v>
      </c>
      <c r="D1565" s="1">
        <v>117974</v>
      </c>
      <c r="E1565">
        <v>2169253</v>
      </c>
      <c r="F1565">
        <v>1067143</v>
      </c>
      <c r="G1565">
        <v>1102110</v>
      </c>
    </row>
    <row r="1566" spans="1:7" x14ac:dyDescent="0.25">
      <c r="A1566">
        <v>15001</v>
      </c>
      <c r="B1566" t="s">
        <v>396</v>
      </c>
      <c r="C1566" s="1">
        <v>43831</v>
      </c>
      <c r="D1566" s="1">
        <v>44111</v>
      </c>
      <c r="E1566">
        <v>81237</v>
      </c>
    </row>
    <row r="1567" spans="1:7" x14ac:dyDescent="0.25">
      <c r="A1567">
        <v>15001</v>
      </c>
      <c r="B1567" t="s">
        <v>396</v>
      </c>
      <c r="C1567" s="1">
        <v>44112</v>
      </c>
      <c r="D1567" s="1">
        <v>44433</v>
      </c>
      <c r="E1567">
        <v>80103</v>
      </c>
    </row>
    <row r="1568" spans="1:7" x14ac:dyDescent="0.25">
      <c r="A1568">
        <v>15001</v>
      </c>
      <c r="B1568" t="s">
        <v>396</v>
      </c>
      <c r="C1568" s="1">
        <v>44434</v>
      </c>
      <c r="D1568" s="1">
        <v>44826</v>
      </c>
      <c r="E1568">
        <v>79354</v>
      </c>
      <c r="F1568">
        <v>38522</v>
      </c>
      <c r="G1568">
        <v>40832</v>
      </c>
    </row>
    <row r="1569" spans="1:7" x14ac:dyDescent="0.25">
      <c r="A1569">
        <v>15001</v>
      </c>
      <c r="B1569" t="s">
        <v>396</v>
      </c>
      <c r="C1569" s="1">
        <v>44827</v>
      </c>
      <c r="D1569" s="1">
        <v>117974</v>
      </c>
      <c r="E1569">
        <v>78731</v>
      </c>
      <c r="F1569">
        <v>38223</v>
      </c>
      <c r="G1569">
        <v>40508</v>
      </c>
    </row>
    <row r="1570" spans="1:7" x14ac:dyDescent="0.25">
      <c r="A1570">
        <v>15002</v>
      </c>
      <c r="B1570" t="s">
        <v>397</v>
      </c>
      <c r="C1570" s="1">
        <v>43831</v>
      </c>
      <c r="D1570" s="1">
        <v>44111</v>
      </c>
      <c r="E1570">
        <v>239257</v>
      </c>
    </row>
    <row r="1571" spans="1:7" x14ac:dyDescent="0.25">
      <c r="A1571">
        <v>15002</v>
      </c>
      <c r="B1571" t="s">
        <v>397</v>
      </c>
      <c r="C1571" s="1">
        <v>44112</v>
      </c>
      <c r="D1571" s="1">
        <v>44433</v>
      </c>
      <c r="E1571">
        <v>238762</v>
      </c>
    </row>
    <row r="1572" spans="1:7" x14ac:dyDescent="0.25">
      <c r="A1572">
        <v>15002</v>
      </c>
      <c r="B1572" t="s">
        <v>397</v>
      </c>
      <c r="C1572" s="1">
        <v>44434</v>
      </c>
      <c r="D1572" s="1">
        <v>44826</v>
      </c>
      <c r="E1572">
        <v>237865</v>
      </c>
      <c r="F1572">
        <v>115241</v>
      </c>
      <c r="G1572">
        <v>122624</v>
      </c>
    </row>
    <row r="1573" spans="1:7" x14ac:dyDescent="0.25">
      <c r="A1573">
        <v>15002</v>
      </c>
      <c r="B1573" t="s">
        <v>397</v>
      </c>
      <c r="C1573" s="1">
        <v>44827</v>
      </c>
      <c r="D1573" s="1">
        <v>117974</v>
      </c>
      <c r="E1573">
        <v>238061</v>
      </c>
      <c r="F1573">
        <v>115441</v>
      </c>
      <c r="G1573">
        <v>122620</v>
      </c>
    </row>
    <row r="1574" spans="1:7" x14ac:dyDescent="0.25">
      <c r="A1574">
        <v>15003</v>
      </c>
      <c r="B1574" t="s">
        <v>398</v>
      </c>
      <c r="C1574" s="1">
        <v>43831</v>
      </c>
      <c r="D1574" s="1">
        <v>44111</v>
      </c>
      <c r="E1574">
        <v>238697</v>
      </c>
    </row>
    <row r="1575" spans="1:7" x14ac:dyDescent="0.25">
      <c r="A1575">
        <v>15003</v>
      </c>
      <c r="B1575" t="s">
        <v>398</v>
      </c>
      <c r="C1575" s="1">
        <v>44112</v>
      </c>
      <c r="D1575" s="1">
        <v>44433</v>
      </c>
      <c r="E1575">
        <v>237565</v>
      </c>
    </row>
    <row r="1576" spans="1:7" x14ac:dyDescent="0.25">
      <c r="A1576">
        <v>15003</v>
      </c>
      <c r="B1576" t="s">
        <v>398</v>
      </c>
      <c r="C1576" s="1">
        <v>44434</v>
      </c>
      <c r="D1576" s="1">
        <v>44826</v>
      </c>
      <c r="E1576">
        <v>235775</v>
      </c>
      <c r="F1576">
        <v>116273</v>
      </c>
      <c r="G1576">
        <v>119502</v>
      </c>
    </row>
    <row r="1577" spans="1:7" x14ac:dyDescent="0.25">
      <c r="A1577">
        <v>15003</v>
      </c>
      <c r="B1577" t="s">
        <v>398</v>
      </c>
      <c r="C1577" s="1">
        <v>44827</v>
      </c>
      <c r="D1577" s="1">
        <v>117974</v>
      </c>
      <c r="E1577">
        <v>236188</v>
      </c>
      <c r="F1577">
        <v>116626</v>
      </c>
      <c r="G1577">
        <v>119562</v>
      </c>
    </row>
    <row r="1578" spans="1:7" x14ac:dyDescent="0.25">
      <c r="A1578">
        <v>15081</v>
      </c>
      <c r="B1578" t="s">
        <v>399</v>
      </c>
      <c r="C1578" s="1">
        <v>43831</v>
      </c>
      <c r="D1578" s="1">
        <v>44111</v>
      </c>
      <c r="E1578">
        <v>83765</v>
      </c>
    </row>
    <row r="1579" spans="1:7" x14ac:dyDescent="0.25">
      <c r="A1579">
        <v>15081</v>
      </c>
      <c r="B1579" t="s">
        <v>399</v>
      </c>
      <c r="C1579" s="1">
        <v>44112</v>
      </c>
      <c r="D1579" s="1">
        <v>44433</v>
      </c>
      <c r="E1579">
        <v>83173</v>
      </c>
    </row>
    <row r="1580" spans="1:7" x14ac:dyDescent="0.25">
      <c r="A1580">
        <v>15081</v>
      </c>
      <c r="B1580" t="s">
        <v>399</v>
      </c>
      <c r="C1580" s="1">
        <v>44434</v>
      </c>
      <c r="D1580" s="1">
        <v>44826</v>
      </c>
      <c r="E1580">
        <v>82687</v>
      </c>
      <c r="F1580">
        <v>41220</v>
      </c>
      <c r="G1580">
        <v>41467</v>
      </c>
    </row>
    <row r="1581" spans="1:7" x14ac:dyDescent="0.25">
      <c r="A1581">
        <v>15081</v>
      </c>
      <c r="B1581" t="s">
        <v>399</v>
      </c>
      <c r="C1581" s="1">
        <v>44827</v>
      </c>
      <c r="D1581" s="1">
        <v>117974</v>
      </c>
      <c r="E1581">
        <v>81986</v>
      </c>
      <c r="F1581">
        <v>40808</v>
      </c>
      <c r="G1581">
        <v>41178</v>
      </c>
    </row>
    <row r="1582" spans="1:7" x14ac:dyDescent="0.25">
      <c r="A1582">
        <v>15082</v>
      </c>
      <c r="B1582" t="s">
        <v>400</v>
      </c>
      <c r="C1582" s="1">
        <v>43831</v>
      </c>
      <c r="D1582" s="1">
        <v>44111</v>
      </c>
      <c r="E1582">
        <v>159854</v>
      </c>
    </row>
    <row r="1583" spans="1:7" x14ac:dyDescent="0.25">
      <c r="A1583">
        <v>15082</v>
      </c>
      <c r="B1583" t="s">
        <v>400</v>
      </c>
      <c r="C1583" s="1">
        <v>44112</v>
      </c>
      <c r="D1583" s="1">
        <v>44433</v>
      </c>
      <c r="E1583">
        <v>158486</v>
      </c>
    </row>
    <row r="1584" spans="1:7" x14ac:dyDescent="0.25">
      <c r="A1584">
        <v>15082</v>
      </c>
      <c r="B1584" t="s">
        <v>400</v>
      </c>
      <c r="C1584" s="1">
        <v>44434</v>
      </c>
      <c r="D1584" s="1">
        <v>44826</v>
      </c>
      <c r="E1584">
        <v>157217</v>
      </c>
      <c r="F1584">
        <v>77058</v>
      </c>
      <c r="G1584">
        <v>80159</v>
      </c>
    </row>
    <row r="1585" spans="1:7" x14ac:dyDescent="0.25">
      <c r="A1585">
        <v>15082</v>
      </c>
      <c r="B1585" t="s">
        <v>400</v>
      </c>
      <c r="C1585" s="1">
        <v>44827</v>
      </c>
      <c r="D1585" s="1">
        <v>117974</v>
      </c>
      <c r="E1585">
        <v>155900</v>
      </c>
      <c r="F1585">
        <v>76440</v>
      </c>
      <c r="G1585">
        <v>79460</v>
      </c>
    </row>
    <row r="1586" spans="1:7" x14ac:dyDescent="0.25">
      <c r="A1586">
        <v>15083</v>
      </c>
      <c r="B1586" t="s">
        <v>401</v>
      </c>
      <c r="C1586" s="1">
        <v>43831</v>
      </c>
      <c r="D1586" s="1">
        <v>44111</v>
      </c>
      <c r="E1586">
        <v>171734</v>
      </c>
    </row>
    <row r="1587" spans="1:7" x14ac:dyDescent="0.25">
      <c r="A1587">
        <v>15083</v>
      </c>
      <c r="B1587" t="s">
        <v>401</v>
      </c>
      <c r="C1587" s="1">
        <v>44112</v>
      </c>
      <c r="D1587" s="1">
        <v>44433</v>
      </c>
      <c r="E1587">
        <v>170923</v>
      </c>
    </row>
    <row r="1588" spans="1:7" x14ac:dyDescent="0.25">
      <c r="A1588">
        <v>15083</v>
      </c>
      <c r="B1588" t="s">
        <v>401</v>
      </c>
      <c r="C1588" s="1">
        <v>44434</v>
      </c>
      <c r="D1588" s="1">
        <v>44826</v>
      </c>
      <c r="E1588">
        <v>170567</v>
      </c>
      <c r="F1588">
        <v>85007</v>
      </c>
      <c r="G1588">
        <v>85560</v>
      </c>
    </row>
    <row r="1589" spans="1:7" x14ac:dyDescent="0.25">
      <c r="A1589">
        <v>15083</v>
      </c>
      <c r="B1589" t="s">
        <v>401</v>
      </c>
      <c r="C1589" s="1">
        <v>44827</v>
      </c>
      <c r="D1589" s="1">
        <v>117974</v>
      </c>
      <c r="E1589">
        <v>170106</v>
      </c>
      <c r="F1589">
        <v>84778</v>
      </c>
      <c r="G1589">
        <v>85328</v>
      </c>
    </row>
    <row r="1590" spans="1:7" x14ac:dyDescent="0.25">
      <c r="A1590">
        <v>15084</v>
      </c>
      <c r="B1590" t="s">
        <v>402</v>
      </c>
      <c r="C1590" s="1">
        <v>43831</v>
      </c>
      <c r="D1590" s="1">
        <v>44111</v>
      </c>
      <c r="E1590">
        <v>180190</v>
      </c>
    </row>
    <row r="1591" spans="1:7" x14ac:dyDescent="0.25">
      <c r="A1591">
        <v>15084</v>
      </c>
      <c r="B1591" t="s">
        <v>402</v>
      </c>
      <c r="C1591" s="1">
        <v>44112</v>
      </c>
      <c r="D1591" s="1">
        <v>44433</v>
      </c>
      <c r="E1591">
        <v>178846</v>
      </c>
    </row>
    <row r="1592" spans="1:7" x14ac:dyDescent="0.25">
      <c r="A1592">
        <v>15084</v>
      </c>
      <c r="B1592" t="s">
        <v>402</v>
      </c>
      <c r="C1592" s="1">
        <v>44434</v>
      </c>
      <c r="D1592" s="1">
        <v>44826</v>
      </c>
      <c r="E1592">
        <v>177590</v>
      </c>
      <c r="F1592">
        <v>87919</v>
      </c>
      <c r="G1592">
        <v>89671</v>
      </c>
    </row>
    <row r="1593" spans="1:7" x14ac:dyDescent="0.25">
      <c r="A1593">
        <v>15084</v>
      </c>
      <c r="B1593" t="s">
        <v>402</v>
      </c>
      <c r="C1593" s="1">
        <v>44827</v>
      </c>
      <c r="D1593" s="1">
        <v>117974</v>
      </c>
      <c r="E1593">
        <v>176333</v>
      </c>
      <c r="F1593">
        <v>87308</v>
      </c>
      <c r="G1593">
        <v>89025</v>
      </c>
    </row>
    <row r="1594" spans="1:7" x14ac:dyDescent="0.25">
      <c r="A1594">
        <v>15085</v>
      </c>
      <c r="B1594" t="s">
        <v>403</v>
      </c>
      <c r="C1594" s="1">
        <v>43831</v>
      </c>
      <c r="D1594" s="1">
        <v>44111</v>
      </c>
      <c r="E1594">
        <v>214446</v>
      </c>
    </row>
    <row r="1595" spans="1:7" x14ac:dyDescent="0.25">
      <c r="A1595">
        <v>15085</v>
      </c>
      <c r="B1595" t="s">
        <v>403</v>
      </c>
      <c r="C1595" s="1">
        <v>44112</v>
      </c>
      <c r="D1595" s="1">
        <v>44433</v>
      </c>
      <c r="E1595">
        <v>213310</v>
      </c>
    </row>
    <row r="1596" spans="1:7" x14ac:dyDescent="0.25">
      <c r="A1596">
        <v>15085</v>
      </c>
      <c r="B1596" t="s">
        <v>403</v>
      </c>
      <c r="C1596" s="1">
        <v>44434</v>
      </c>
      <c r="D1596" s="1">
        <v>44826</v>
      </c>
      <c r="E1596">
        <v>210975</v>
      </c>
      <c r="F1596">
        <v>103480</v>
      </c>
      <c r="G1596">
        <v>107495</v>
      </c>
    </row>
    <row r="1597" spans="1:7" x14ac:dyDescent="0.25">
      <c r="A1597">
        <v>15085</v>
      </c>
      <c r="B1597" t="s">
        <v>403</v>
      </c>
      <c r="C1597" s="1">
        <v>44827</v>
      </c>
      <c r="D1597" s="1">
        <v>117974</v>
      </c>
      <c r="E1597">
        <v>209117</v>
      </c>
      <c r="F1597">
        <v>102527</v>
      </c>
      <c r="G1597">
        <v>106590</v>
      </c>
    </row>
    <row r="1598" spans="1:7" x14ac:dyDescent="0.25">
      <c r="A1598">
        <v>15086</v>
      </c>
      <c r="B1598" t="s">
        <v>404</v>
      </c>
      <c r="C1598" s="1">
        <v>43831</v>
      </c>
      <c r="D1598" s="1">
        <v>44111</v>
      </c>
      <c r="E1598">
        <v>89928</v>
      </c>
    </row>
    <row r="1599" spans="1:7" x14ac:dyDescent="0.25">
      <c r="A1599">
        <v>15086</v>
      </c>
      <c r="B1599" t="s">
        <v>404</v>
      </c>
      <c r="C1599" s="1">
        <v>44112</v>
      </c>
      <c r="D1599" s="1">
        <v>44433</v>
      </c>
      <c r="E1599">
        <v>89589</v>
      </c>
    </row>
    <row r="1600" spans="1:7" x14ac:dyDescent="0.25">
      <c r="A1600">
        <v>15086</v>
      </c>
      <c r="B1600" t="s">
        <v>404</v>
      </c>
      <c r="C1600" s="1">
        <v>44434</v>
      </c>
      <c r="D1600" s="1">
        <v>44826</v>
      </c>
      <c r="E1600">
        <v>89403</v>
      </c>
      <c r="F1600">
        <v>44489</v>
      </c>
      <c r="G1600">
        <v>44914</v>
      </c>
    </row>
    <row r="1601" spans="1:7" x14ac:dyDescent="0.25">
      <c r="A1601">
        <v>15086</v>
      </c>
      <c r="B1601" t="s">
        <v>404</v>
      </c>
      <c r="C1601" s="1">
        <v>44827</v>
      </c>
      <c r="D1601" s="1">
        <v>117974</v>
      </c>
      <c r="E1601">
        <v>89118</v>
      </c>
      <c r="F1601">
        <v>44355</v>
      </c>
      <c r="G1601">
        <v>44763</v>
      </c>
    </row>
    <row r="1602" spans="1:7" x14ac:dyDescent="0.25">
      <c r="A1602">
        <v>15087</v>
      </c>
      <c r="B1602" t="s">
        <v>405</v>
      </c>
      <c r="C1602" s="1">
        <v>43831</v>
      </c>
      <c r="D1602" s="1">
        <v>44111</v>
      </c>
      <c r="E1602">
        <v>136249</v>
      </c>
    </row>
    <row r="1603" spans="1:7" x14ac:dyDescent="0.25">
      <c r="A1603">
        <v>15087</v>
      </c>
      <c r="B1603" t="s">
        <v>405</v>
      </c>
      <c r="C1603" s="1">
        <v>44112</v>
      </c>
      <c r="D1603" s="1">
        <v>44433</v>
      </c>
      <c r="E1603">
        <v>134942</v>
      </c>
    </row>
    <row r="1604" spans="1:7" x14ac:dyDescent="0.25">
      <c r="A1604">
        <v>15087</v>
      </c>
      <c r="B1604" t="s">
        <v>405</v>
      </c>
      <c r="C1604" s="1">
        <v>44434</v>
      </c>
      <c r="D1604" s="1">
        <v>44826</v>
      </c>
      <c r="E1604">
        <v>133690</v>
      </c>
      <c r="F1604">
        <v>65650</v>
      </c>
      <c r="G1604">
        <v>68040</v>
      </c>
    </row>
    <row r="1605" spans="1:7" x14ac:dyDescent="0.25">
      <c r="A1605">
        <v>15087</v>
      </c>
      <c r="B1605" t="s">
        <v>405</v>
      </c>
      <c r="C1605" s="1">
        <v>44827</v>
      </c>
      <c r="D1605" s="1">
        <v>117974</v>
      </c>
      <c r="E1605">
        <v>132317</v>
      </c>
      <c r="F1605">
        <v>64971</v>
      </c>
      <c r="G1605">
        <v>67346</v>
      </c>
    </row>
    <row r="1606" spans="1:7" x14ac:dyDescent="0.25">
      <c r="A1606">
        <v>15088</v>
      </c>
      <c r="B1606" t="s">
        <v>406</v>
      </c>
      <c r="C1606" s="1">
        <v>43831</v>
      </c>
      <c r="D1606" s="1">
        <v>44111</v>
      </c>
      <c r="E1606">
        <v>184582</v>
      </c>
    </row>
    <row r="1607" spans="1:7" x14ac:dyDescent="0.25">
      <c r="A1607">
        <v>15088</v>
      </c>
      <c r="B1607" t="s">
        <v>406</v>
      </c>
      <c r="C1607" s="1">
        <v>44112</v>
      </c>
      <c r="D1607" s="1">
        <v>44433</v>
      </c>
      <c r="E1607">
        <v>183815</v>
      </c>
    </row>
    <row r="1608" spans="1:7" x14ac:dyDescent="0.25">
      <c r="A1608">
        <v>15088</v>
      </c>
      <c r="B1608" t="s">
        <v>406</v>
      </c>
      <c r="C1608" s="1">
        <v>44434</v>
      </c>
      <c r="D1608" s="1">
        <v>44826</v>
      </c>
      <c r="E1608">
        <v>183434</v>
      </c>
      <c r="F1608">
        <v>90697</v>
      </c>
      <c r="G1608">
        <v>92737</v>
      </c>
    </row>
    <row r="1609" spans="1:7" x14ac:dyDescent="0.25">
      <c r="A1609">
        <v>15088</v>
      </c>
      <c r="B1609" t="s">
        <v>406</v>
      </c>
      <c r="C1609" s="1">
        <v>44827</v>
      </c>
      <c r="D1609" s="1">
        <v>117974</v>
      </c>
      <c r="E1609">
        <v>182814</v>
      </c>
      <c r="F1609">
        <v>90387</v>
      </c>
      <c r="G1609">
        <v>92427</v>
      </c>
    </row>
    <row r="1610" spans="1:7" x14ac:dyDescent="0.25">
      <c r="A1610">
        <v>15089</v>
      </c>
      <c r="B1610" t="s">
        <v>407</v>
      </c>
      <c r="C1610" s="1">
        <v>43831</v>
      </c>
      <c r="D1610" s="1">
        <v>44111</v>
      </c>
      <c r="E1610">
        <v>190560</v>
      </c>
    </row>
    <row r="1611" spans="1:7" x14ac:dyDescent="0.25">
      <c r="A1611">
        <v>15089</v>
      </c>
      <c r="B1611" t="s">
        <v>407</v>
      </c>
      <c r="C1611" s="1">
        <v>44112</v>
      </c>
      <c r="D1611" s="1">
        <v>44433</v>
      </c>
      <c r="E1611">
        <v>189125</v>
      </c>
    </row>
    <row r="1612" spans="1:7" x14ac:dyDescent="0.25">
      <c r="A1612">
        <v>15089</v>
      </c>
      <c r="B1612" t="s">
        <v>407</v>
      </c>
      <c r="C1612" s="1">
        <v>44434</v>
      </c>
      <c r="D1612" s="1">
        <v>44826</v>
      </c>
      <c r="E1612">
        <v>187457</v>
      </c>
      <c r="F1612">
        <v>91513</v>
      </c>
      <c r="G1612">
        <v>95944</v>
      </c>
    </row>
    <row r="1613" spans="1:7" x14ac:dyDescent="0.25">
      <c r="A1613">
        <v>15089</v>
      </c>
      <c r="B1613" t="s">
        <v>407</v>
      </c>
      <c r="C1613" s="1">
        <v>44827</v>
      </c>
      <c r="D1613" s="1">
        <v>117974</v>
      </c>
      <c r="E1613">
        <v>185495</v>
      </c>
      <c r="F1613">
        <v>90596</v>
      </c>
      <c r="G1613">
        <v>94899</v>
      </c>
    </row>
    <row r="1614" spans="1:7" x14ac:dyDescent="0.25">
      <c r="A1614">
        <v>15090</v>
      </c>
      <c r="B1614" t="s">
        <v>408</v>
      </c>
      <c r="C1614" s="1">
        <v>43831</v>
      </c>
      <c r="D1614" s="1">
        <v>44111</v>
      </c>
      <c r="E1614">
        <v>111982</v>
      </c>
    </row>
    <row r="1615" spans="1:7" x14ac:dyDescent="0.25">
      <c r="A1615">
        <v>15090</v>
      </c>
      <c r="B1615" t="s">
        <v>408</v>
      </c>
      <c r="C1615" s="1">
        <v>44112</v>
      </c>
      <c r="D1615" s="1">
        <v>44433</v>
      </c>
      <c r="E1615">
        <v>111190</v>
      </c>
    </row>
    <row r="1616" spans="1:7" x14ac:dyDescent="0.25">
      <c r="A1616">
        <v>15090</v>
      </c>
      <c r="B1616" t="s">
        <v>408</v>
      </c>
      <c r="C1616" s="1">
        <v>44434</v>
      </c>
      <c r="D1616" s="1">
        <v>44826</v>
      </c>
      <c r="E1616">
        <v>110485</v>
      </c>
      <c r="F1616">
        <v>54415</v>
      </c>
      <c r="G1616">
        <v>56070</v>
      </c>
    </row>
    <row r="1617" spans="1:7" x14ac:dyDescent="0.25">
      <c r="A1617">
        <v>15090</v>
      </c>
      <c r="B1617" t="s">
        <v>408</v>
      </c>
      <c r="C1617" s="1">
        <v>44827</v>
      </c>
      <c r="D1617" s="1">
        <v>117974</v>
      </c>
      <c r="E1617">
        <v>109746</v>
      </c>
      <c r="F1617">
        <v>54029</v>
      </c>
      <c r="G1617">
        <v>55717</v>
      </c>
    </row>
    <row r="1618" spans="1:7" x14ac:dyDescent="0.25">
      <c r="A1618">
        <v>15091</v>
      </c>
      <c r="B1618" t="s">
        <v>409</v>
      </c>
      <c r="C1618" s="1">
        <v>43831</v>
      </c>
      <c r="D1618" s="1">
        <v>44111</v>
      </c>
      <c r="E1618">
        <v>125840</v>
      </c>
    </row>
    <row r="1619" spans="1:7" x14ac:dyDescent="0.25">
      <c r="A1619">
        <v>15091</v>
      </c>
      <c r="B1619" t="s">
        <v>409</v>
      </c>
      <c r="C1619" s="1">
        <v>44112</v>
      </c>
      <c r="D1619" s="1">
        <v>44433</v>
      </c>
      <c r="E1619">
        <v>124953</v>
      </c>
    </row>
    <row r="1620" spans="1:7" x14ac:dyDescent="0.25">
      <c r="A1620">
        <v>15091</v>
      </c>
      <c r="B1620" t="s">
        <v>409</v>
      </c>
      <c r="C1620" s="1">
        <v>44434</v>
      </c>
      <c r="D1620" s="1">
        <v>44826</v>
      </c>
      <c r="E1620">
        <v>124185</v>
      </c>
      <c r="F1620">
        <v>61111</v>
      </c>
      <c r="G1620">
        <v>63074</v>
      </c>
    </row>
    <row r="1621" spans="1:7" x14ac:dyDescent="0.25">
      <c r="A1621">
        <v>15091</v>
      </c>
      <c r="B1621" t="s">
        <v>409</v>
      </c>
      <c r="C1621" s="1">
        <v>44827</v>
      </c>
      <c r="D1621" s="1">
        <v>117974</v>
      </c>
      <c r="E1621">
        <v>123341</v>
      </c>
      <c r="F1621">
        <v>60654</v>
      </c>
      <c r="G1621">
        <v>62687</v>
      </c>
    </row>
    <row r="1622" spans="1:7" x14ac:dyDescent="0.25">
      <c r="A1622">
        <v>16</v>
      </c>
      <c r="B1622" t="s">
        <v>410</v>
      </c>
      <c r="C1622" s="1">
        <v>43831</v>
      </c>
      <c r="D1622" s="1">
        <v>44111</v>
      </c>
      <c r="E1622">
        <v>2143145</v>
      </c>
    </row>
    <row r="1623" spans="1:7" x14ac:dyDescent="0.25">
      <c r="A1623">
        <v>16</v>
      </c>
      <c r="B1623" t="s">
        <v>410</v>
      </c>
      <c r="C1623" s="1">
        <v>44112</v>
      </c>
      <c r="D1623" s="1">
        <v>44433</v>
      </c>
      <c r="E1623">
        <v>2133378</v>
      </c>
    </row>
    <row r="1624" spans="1:7" x14ac:dyDescent="0.25">
      <c r="A1624">
        <v>16</v>
      </c>
      <c r="B1624" t="s">
        <v>410</v>
      </c>
      <c r="C1624" s="1">
        <v>44434</v>
      </c>
      <c r="D1624" s="1">
        <v>44826</v>
      </c>
      <c r="E1624">
        <v>2120237</v>
      </c>
      <c r="F1624">
        <v>1049210</v>
      </c>
      <c r="G1624">
        <v>1071026</v>
      </c>
    </row>
    <row r="1625" spans="1:7" x14ac:dyDescent="0.25">
      <c r="A1625">
        <v>16</v>
      </c>
      <c r="B1625" t="s">
        <v>410</v>
      </c>
      <c r="C1625" s="1">
        <v>44827</v>
      </c>
      <c r="D1625" s="1">
        <v>117974</v>
      </c>
      <c r="E1625">
        <v>2108863</v>
      </c>
      <c r="F1625">
        <v>1043936</v>
      </c>
      <c r="G1625">
        <v>1064927</v>
      </c>
    </row>
    <row r="1626" spans="1:7" x14ac:dyDescent="0.25">
      <c r="A1626">
        <v>16051</v>
      </c>
      <c r="B1626" t="s">
        <v>411</v>
      </c>
      <c r="C1626" s="1">
        <v>43831</v>
      </c>
      <c r="D1626" s="1">
        <v>44111</v>
      </c>
      <c r="E1626">
        <v>213699</v>
      </c>
    </row>
    <row r="1627" spans="1:7" x14ac:dyDescent="0.25">
      <c r="A1627">
        <v>16051</v>
      </c>
      <c r="B1627" t="s">
        <v>411</v>
      </c>
      <c r="C1627" s="1">
        <v>44112</v>
      </c>
      <c r="D1627" s="1">
        <v>44433</v>
      </c>
      <c r="E1627">
        <v>213981</v>
      </c>
    </row>
    <row r="1628" spans="1:7" x14ac:dyDescent="0.25">
      <c r="A1628">
        <v>16051</v>
      </c>
      <c r="B1628" t="s">
        <v>411</v>
      </c>
      <c r="C1628" s="1">
        <v>44434</v>
      </c>
      <c r="D1628" s="1">
        <v>44826</v>
      </c>
      <c r="E1628">
        <v>213692</v>
      </c>
      <c r="F1628">
        <v>103940</v>
      </c>
      <c r="G1628">
        <v>109752</v>
      </c>
    </row>
    <row r="1629" spans="1:7" x14ac:dyDescent="0.25">
      <c r="A1629">
        <v>16051</v>
      </c>
      <c r="B1629" t="s">
        <v>411</v>
      </c>
      <c r="C1629" s="1">
        <v>44827</v>
      </c>
      <c r="D1629" s="1">
        <v>117974</v>
      </c>
      <c r="E1629">
        <v>213227</v>
      </c>
      <c r="F1629">
        <v>103638</v>
      </c>
      <c r="G1629">
        <v>109589</v>
      </c>
    </row>
    <row r="1630" spans="1:7" x14ac:dyDescent="0.25">
      <c r="A1630">
        <v>16052</v>
      </c>
      <c r="B1630" t="s">
        <v>412</v>
      </c>
      <c r="C1630" s="1">
        <v>43831</v>
      </c>
      <c r="D1630" s="1">
        <v>44111</v>
      </c>
      <c r="E1630">
        <v>94152</v>
      </c>
    </row>
    <row r="1631" spans="1:7" x14ac:dyDescent="0.25">
      <c r="A1631">
        <v>16052</v>
      </c>
      <c r="B1631" t="s">
        <v>412</v>
      </c>
      <c r="C1631" s="1">
        <v>44112</v>
      </c>
      <c r="D1631" s="1">
        <v>44433</v>
      </c>
      <c r="E1631">
        <v>93125</v>
      </c>
    </row>
    <row r="1632" spans="1:7" x14ac:dyDescent="0.25">
      <c r="A1632">
        <v>16052</v>
      </c>
      <c r="B1632" t="s">
        <v>412</v>
      </c>
      <c r="C1632" s="1">
        <v>44434</v>
      </c>
      <c r="D1632" s="1">
        <v>44826</v>
      </c>
      <c r="E1632">
        <v>92126</v>
      </c>
      <c r="F1632">
        <v>44474</v>
      </c>
      <c r="G1632">
        <v>47652</v>
      </c>
    </row>
    <row r="1633" spans="1:7" x14ac:dyDescent="0.25">
      <c r="A1633">
        <v>16052</v>
      </c>
      <c r="B1633" t="s">
        <v>412</v>
      </c>
      <c r="C1633" s="1">
        <v>44827</v>
      </c>
      <c r="D1633" s="1">
        <v>117974</v>
      </c>
      <c r="E1633">
        <v>91368</v>
      </c>
      <c r="F1633">
        <v>44203</v>
      </c>
      <c r="G1633">
        <v>47165</v>
      </c>
    </row>
    <row r="1634" spans="1:7" x14ac:dyDescent="0.25">
      <c r="A1634">
        <v>16053</v>
      </c>
      <c r="B1634" t="s">
        <v>413</v>
      </c>
      <c r="C1634" s="1">
        <v>43831</v>
      </c>
      <c r="D1634" s="1">
        <v>44111</v>
      </c>
      <c r="E1634">
        <v>111407</v>
      </c>
    </row>
    <row r="1635" spans="1:7" x14ac:dyDescent="0.25">
      <c r="A1635">
        <v>16053</v>
      </c>
      <c r="B1635" t="s">
        <v>413</v>
      </c>
      <c r="C1635" s="1">
        <v>44112</v>
      </c>
      <c r="D1635" s="1">
        <v>44433</v>
      </c>
      <c r="E1635">
        <v>111343</v>
      </c>
    </row>
    <row r="1636" spans="1:7" x14ac:dyDescent="0.25">
      <c r="A1636">
        <v>16053</v>
      </c>
      <c r="B1636" t="s">
        <v>413</v>
      </c>
      <c r="C1636" s="1">
        <v>44434</v>
      </c>
      <c r="D1636" s="1">
        <v>44826</v>
      </c>
      <c r="E1636">
        <v>110731</v>
      </c>
      <c r="F1636">
        <v>55374</v>
      </c>
      <c r="G1636">
        <v>55357</v>
      </c>
    </row>
    <row r="1637" spans="1:7" x14ac:dyDescent="0.25">
      <c r="A1637">
        <v>16053</v>
      </c>
      <c r="B1637" t="s">
        <v>413</v>
      </c>
      <c r="C1637" s="1">
        <v>44827</v>
      </c>
      <c r="D1637" s="1">
        <v>117974</v>
      </c>
      <c r="E1637">
        <v>110502</v>
      </c>
      <c r="F1637">
        <v>55097</v>
      </c>
      <c r="G1637">
        <v>55405</v>
      </c>
    </row>
    <row r="1638" spans="1:7" x14ac:dyDescent="0.25">
      <c r="A1638">
        <v>16054</v>
      </c>
      <c r="B1638" t="s">
        <v>414</v>
      </c>
      <c r="C1638" s="1">
        <v>43831</v>
      </c>
      <c r="D1638" s="1">
        <v>44111</v>
      </c>
      <c r="E1638">
        <v>34835</v>
      </c>
    </row>
    <row r="1639" spans="1:7" x14ac:dyDescent="0.25">
      <c r="A1639">
        <v>16054</v>
      </c>
      <c r="B1639" t="s">
        <v>414</v>
      </c>
      <c r="C1639" s="1">
        <v>44112</v>
      </c>
      <c r="D1639" s="1">
        <v>44433</v>
      </c>
      <c r="E1639">
        <v>36789</v>
      </c>
    </row>
    <row r="1640" spans="1:7" x14ac:dyDescent="0.25">
      <c r="A1640">
        <v>16054</v>
      </c>
      <c r="B1640" t="s">
        <v>414</v>
      </c>
      <c r="C1640" s="1">
        <v>44434</v>
      </c>
      <c r="D1640" s="1">
        <v>44826</v>
      </c>
      <c r="E1640">
        <v>36395</v>
      </c>
      <c r="F1640">
        <v>17887</v>
      </c>
      <c r="G1640">
        <v>18508</v>
      </c>
    </row>
    <row r="1641" spans="1:7" x14ac:dyDescent="0.25">
      <c r="A1641">
        <v>16054</v>
      </c>
      <c r="B1641" t="s">
        <v>414</v>
      </c>
      <c r="C1641" s="1">
        <v>44827</v>
      </c>
      <c r="D1641" s="1">
        <v>117974</v>
      </c>
      <c r="E1641">
        <v>36054</v>
      </c>
      <c r="F1641">
        <v>17718</v>
      </c>
      <c r="G1641">
        <v>18336</v>
      </c>
    </row>
    <row r="1642" spans="1:7" x14ac:dyDescent="0.25">
      <c r="A1642">
        <v>16055</v>
      </c>
      <c r="B1642" t="s">
        <v>415</v>
      </c>
      <c r="C1642" s="1">
        <v>43831</v>
      </c>
      <c r="D1642" s="1">
        <v>44111</v>
      </c>
      <c r="E1642">
        <v>65090</v>
      </c>
    </row>
    <row r="1643" spans="1:7" x14ac:dyDescent="0.25">
      <c r="A1643">
        <v>16055</v>
      </c>
      <c r="B1643" t="s">
        <v>415</v>
      </c>
      <c r="C1643" s="1">
        <v>44112</v>
      </c>
      <c r="D1643" s="1">
        <v>44433</v>
      </c>
      <c r="E1643">
        <v>65228</v>
      </c>
    </row>
    <row r="1644" spans="1:7" x14ac:dyDescent="0.25">
      <c r="A1644">
        <v>16055</v>
      </c>
      <c r="B1644" t="s">
        <v>415</v>
      </c>
      <c r="C1644" s="1">
        <v>44434</v>
      </c>
      <c r="D1644" s="1">
        <v>44826</v>
      </c>
      <c r="E1644">
        <v>65098</v>
      </c>
      <c r="F1644">
        <v>31439</v>
      </c>
      <c r="G1644">
        <v>33659</v>
      </c>
    </row>
    <row r="1645" spans="1:7" x14ac:dyDescent="0.25">
      <c r="A1645">
        <v>16055</v>
      </c>
      <c r="B1645" t="s">
        <v>415</v>
      </c>
      <c r="C1645" s="1">
        <v>44827</v>
      </c>
      <c r="D1645" s="1">
        <v>117974</v>
      </c>
      <c r="E1645">
        <v>65138</v>
      </c>
      <c r="F1645">
        <v>31456</v>
      </c>
      <c r="G1645">
        <v>33682</v>
      </c>
    </row>
    <row r="1646" spans="1:7" x14ac:dyDescent="0.25">
      <c r="A1646">
        <v>16056</v>
      </c>
      <c r="B1646" t="s">
        <v>420</v>
      </c>
      <c r="C1646" s="1">
        <v>43831</v>
      </c>
      <c r="D1646" s="1">
        <v>44111</v>
      </c>
      <c r="E1646">
        <v>42370</v>
      </c>
    </row>
    <row r="1647" spans="1:7" x14ac:dyDescent="0.25">
      <c r="A1647">
        <v>16056</v>
      </c>
      <c r="B1647" t="s">
        <v>420</v>
      </c>
      <c r="C1647" s="1">
        <v>44112</v>
      </c>
      <c r="D1647" s="1">
        <v>44390</v>
      </c>
      <c r="E1647">
        <v>42250</v>
      </c>
    </row>
    <row r="1648" spans="1:7" x14ac:dyDescent="0.25">
      <c r="A1648">
        <v>16061</v>
      </c>
      <c r="B1648" t="s">
        <v>421</v>
      </c>
      <c r="C1648" s="1">
        <v>43831</v>
      </c>
      <c r="D1648" s="1">
        <v>44111</v>
      </c>
      <c r="E1648">
        <v>100380</v>
      </c>
    </row>
    <row r="1649" spans="1:7" x14ac:dyDescent="0.25">
      <c r="A1649">
        <v>16061</v>
      </c>
      <c r="B1649" t="s">
        <v>421</v>
      </c>
      <c r="C1649" s="1">
        <v>44112</v>
      </c>
      <c r="D1649" s="1">
        <v>44433</v>
      </c>
      <c r="E1649">
        <v>100006</v>
      </c>
    </row>
    <row r="1650" spans="1:7" x14ac:dyDescent="0.25">
      <c r="A1650">
        <v>16061</v>
      </c>
      <c r="B1650" t="s">
        <v>421</v>
      </c>
      <c r="C1650" s="1">
        <v>44434</v>
      </c>
      <c r="D1650" s="1">
        <v>44826</v>
      </c>
      <c r="E1650">
        <v>99463</v>
      </c>
      <c r="F1650">
        <v>49830</v>
      </c>
      <c r="G1650">
        <v>49633</v>
      </c>
    </row>
    <row r="1651" spans="1:7" x14ac:dyDescent="0.25">
      <c r="A1651">
        <v>16061</v>
      </c>
      <c r="B1651" t="s">
        <v>421</v>
      </c>
      <c r="C1651" s="1">
        <v>44827</v>
      </c>
      <c r="D1651" s="1">
        <v>117974</v>
      </c>
      <c r="E1651">
        <v>99324</v>
      </c>
      <c r="F1651">
        <v>49800</v>
      </c>
      <c r="G1651">
        <v>49524</v>
      </c>
    </row>
    <row r="1652" spans="1:7" x14ac:dyDescent="0.25">
      <c r="A1652">
        <v>16062</v>
      </c>
      <c r="B1652" t="s">
        <v>422</v>
      </c>
      <c r="C1652" s="1">
        <v>43831</v>
      </c>
      <c r="D1652" s="1">
        <v>44111</v>
      </c>
      <c r="E1652">
        <v>83822</v>
      </c>
    </row>
    <row r="1653" spans="1:7" x14ac:dyDescent="0.25">
      <c r="A1653">
        <v>16062</v>
      </c>
      <c r="B1653" t="s">
        <v>422</v>
      </c>
      <c r="C1653" s="1">
        <v>44112</v>
      </c>
      <c r="D1653" s="1">
        <v>44433</v>
      </c>
      <c r="E1653">
        <v>83416</v>
      </c>
    </row>
    <row r="1654" spans="1:7" x14ac:dyDescent="0.25">
      <c r="A1654">
        <v>16062</v>
      </c>
      <c r="B1654" t="s">
        <v>422</v>
      </c>
      <c r="C1654" s="1">
        <v>44434</v>
      </c>
      <c r="D1654" s="1">
        <v>44826</v>
      </c>
      <c r="E1654">
        <v>82456</v>
      </c>
      <c r="F1654">
        <v>40960</v>
      </c>
      <c r="G1654">
        <v>41496</v>
      </c>
    </row>
    <row r="1655" spans="1:7" x14ac:dyDescent="0.25">
      <c r="A1655">
        <v>16062</v>
      </c>
      <c r="B1655" t="s">
        <v>422</v>
      </c>
      <c r="C1655" s="1">
        <v>44827</v>
      </c>
      <c r="D1655" s="1">
        <v>117974</v>
      </c>
      <c r="E1655">
        <v>81687</v>
      </c>
      <c r="F1655">
        <v>40557</v>
      </c>
      <c r="G1655">
        <v>41130</v>
      </c>
    </row>
    <row r="1656" spans="1:7" x14ac:dyDescent="0.25">
      <c r="A1656">
        <v>16063</v>
      </c>
      <c r="B1656" t="s">
        <v>423</v>
      </c>
      <c r="C1656" s="1">
        <v>43831</v>
      </c>
      <c r="D1656" s="1">
        <v>44111</v>
      </c>
      <c r="E1656">
        <v>123025</v>
      </c>
    </row>
    <row r="1657" spans="1:7" x14ac:dyDescent="0.25">
      <c r="A1657">
        <v>16063</v>
      </c>
      <c r="B1657" t="s">
        <v>423</v>
      </c>
      <c r="C1657" s="1">
        <v>44112</v>
      </c>
      <c r="D1657" s="1">
        <v>44390</v>
      </c>
      <c r="E1657">
        <v>118974</v>
      </c>
    </row>
    <row r="1658" spans="1:7" x14ac:dyDescent="0.25">
      <c r="A1658">
        <v>16063</v>
      </c>
      <c r="B1658" t="s">
        <v>423</v>
      </c>
      <c r="C1658" s="1">
        <v>44391</v>
      </c>
      <c r="D1658" s="1">
        <v>44433</v>
      </c>
      <c r="E1658">
        <v>161224</v>
      </c>
    </row>
    <row r="1659" spans="1:7" x14ac:dyDescent="0.25">
      <c r="A1659">
        <v>16063</v>
      </c>
      <c r="B1659" t="s">
        <v>423</v>
      </c>
      <c r="C1659" s="1">
        <v>44434</v>
      </c>
      <c r="D1659" s="1">
        <v>44826</v>
      </c>
      <c r="E1659">
        <v>159937</v>
      </c>
      <c r="F1659">
        <v>79760</v>
      </c>
      <c r="G1659">
        <v>80177</v>
      </c>
    </row>
    <row r="1660" spans="1:7" x14ac:dyDescent="0.25">
      <c r="A1660">
        <v>16063</v>
      </c>
      <c r="B1660" t="s">
        <v>423</v>
      </c>
      <c r="C1660" s="1">
        <v>44827</v>
      </c>
      <c r="D1660" s="1">
        <v>117974</v>
      </c>
      <c r="E1660">
        <v>158900</v>
      </c>
      <c r="F1660">
        <v>79235</v>
      </c>
      <c r="G1660">
        <v>79665</v>
      </c>
    </row>
    <row r="1661" spans="1:7" x14ac:dyDescent="0.25">
      <c r="A1661">
        <v>16064</v>
      </c>
      <c r="B1661" t="s">
        <v>424</v>
      </c>
      <c r="C1661" s="1">
        <v>43831</v>
      </c>
      <c r="D1661" s="1">
        <v>44111</v>
      </c>
      <c r="E1661">
        <v>102912</v>
      </c>
    </row>
    <row r="1662" spans="1:7" x14ac:dyDescent="0.25">
      <c r="A1662">
        <v>16064</v>
      </c>
      <c r="B1662" t="s">
        <v>424</v>
      </c>
      <c r="C1662" s="1">
        <v>44112</v>
      </c>
      <c r="D1662" s="1">
        <v>44433</v>
      </c>
      <c r="E1662">
        <v>102232</v>
      </c>
    </row>
    <row r="1663" spans="1:7" x14ac:dyDescent="0.25">
      <c r="A1663">
        <v>16064</v>
      </c>
      <c r="B1663" t="s">
        <v>424</v>
      </c>
      <c r="C1663" s="1">
        <v>44434</v>
      </c>
      <c r="D1663" s="1">
        <v>44826</v>
      </c>
      <c r="E1663">
        <v>101698</v>
      </c>
      <c r="F1663">
        <v>50427</v>
      </c>
      <c r="G1663">
        <v>51271</v>
      </c>
    </row>
    <row r="1664" spans="1:7" x14ac:dyDescent="0.25">
      <c r="A1664">
        <v>16064</v>
      </c>
      <c r="B1664" t="s">
        <v>424</v>
      </c>
      <c r="C1664" s="1">
        <v>44827</v>
      </c>
      <c r="D1664" s="1">
        <v>117974</v>
      </c>
      <c r="E1664">
        <v>101269</v>
      </c>
      <c r="F1664">
        <v>50147</v>
      </c>
      <c r="G1664">
        <v>51122</v>
      </c>
    </row>
    <row r="1665" spans="1:7" x14ac:dyDescent="0.25">
      <c r="A1665">
        <v>16065</v>
      </c>
      <c r="B1665" t="s">
        <v>425</v>
      </c>
      <c r="C1665" s="1">
        <v>43831</v>
      </c>
      <c r="D1665" s="1">
        <v>44111</v>
      </c>
      <c r="E1665">
        <v>75009</v>
      </c>
    </row>
    <row r="1666" spans="1:7" x14ac:dyDescent="0.25">
      <c r="A1666">
        <v>16065</v>
      </c>
      <c r="B1666" t="s">
        <v>425</v>
      </c>
      <c r="C1666" s="1">
        <v>44112</v>
      </c>
      <c r="D1666" s="1">
        <v>44433</v>
      </c>
      <c r="E1666">
        <v>74212</v>
      </c>
    </row>
    <row r="1667" spans="1:7" x14ac:dyDescent="0.25">
      <c r="A1667">
        <v>16065</v>
      </c>
      <c r="B1667" t="s">
        <v>425</v>
      </c>
      <c r="C1667" s="1">
        <v>44434</v>
      </c>
      <c r="D1667" s="1">
        <v>44826</v>
      </c>
      <c r="E1667">
        <v>73522</v>
      </c>
      <c r="F1667">
        <v>36493</v>
      </c>
      <c r="G1667">
        <v>37029</v>
      </c>
    </row>
    <row r="1668" spans="1:7" x14ac:dyDescent="0.25">
      <c r="A1668">
        <v>16065</v>
      </c>
      <c r="B1668" t="s">
        <v>425</v>
      </c>
      <c r="C1668" s="1">
        <v>44827</v>
      </c>
      <c r="D1668" s="1">
        <v>117974</v>
      </c>
      <c r="E1668">
        <v>72964</v>
      </c>
      <c r="F1668">
        <v>36276</v>
      </c>
      <c r="G1668">
        <v>36688</v>
      </c>
    </row>
    <row r="1669" spans="1:7" x14ac:dyDescent="0.25">
      <c r="A1669">
        <v>16066</v>
      </c>
      <c r="B1669" t="s">
        <v>426</v>
      </c>
      <c r="C1669" s="1">
        <v>43831</v>
      </c>
      <c r="D1669" s="1">
        <v>44111</v>
      </c>
      <c r="E1669">
        <v>122347</v>
      </c>
    </row>
    <row r="1670" spans="1:7" x14ac:dyDescent="0.25">
      <c r="A1670">
        <v>16066</v>
      </c>
      <c r="B1670" t="s">
        <v>426</v>
      </c>
      <c r="C1670" s="1">
        <v>44112</v>
      </c>
      <c r="D1670" s="1">
        <v>44433</v>
      </c>
      <c r="E1670">
        <v>124916</v>
      </c>
    </row>
    <row r="1671" spans="1:7" x14ac:dyDescent="0.25">
      <c r="A1671">
        <v>16066</v>
      </c>
      <c r="B1671" t="s">
        <v>426</v>
      </c>
      <c r="C1671" s="1">
        <v>44434</v>
      </c>
      <c r="D1671" s="1">
        <v>44826</v>
      </c>
      <c r="E1671">
        <v>124241</v>
      </c>
      <c r="F1671">
        <v>62110</v>
      </c>
      <c r="G1671">
        <v>62131</v>
      </c>
    </row>
    <row r="1672" spans="1:7" x14ac:dyDescent="0.25">
      <c r="A1672">
        <v>16066</v>
      </c>
      <c r="B1672" t="s">
        <v>426</v>
      </c>
      <c r="C1672" s="1">
        <v>44827</v>
      </c>
      <c r="D1672" s="1">
        <v>117974</v>
      </c>
      <c r="E1672">
        <v>123404</v>
      </c>
      <c r="F1672">
        <v>61702</v>
      </c>
      <c r="G1672">
        <v>61702</v>
      </c>
    </row>
    <row r="1673" spans="1:7" x14ac:dyDescent="0.25">
      <c r="A1673">
        <v>16067</v>
      </c>
      <c r="B1673" t="s">
        <v>427</v>
      </c>
      <c r="C1673" s="1">
        <v>43831</v>
      </c>
      <c r="D1673" s="1">
        <v>44111</v>
      </c>
      <c r="E1673">
        <v>135452</v>
      </c>
    </row>
    <row r="1674" spans="1:7" x14ac:dyDescent="0.25">
      <c r="A1674">
        <v>16067</v>
      </c>
      <c r="B1674" t="s">
        <v>427</v>
      </c>
      <c r="C1674" s="1">
        <v>44112</v>
      </c>
      <c r="D1674" s="1">
        <v>44433</v>
      </c>
      <c r="E1674">
        <v>134908</v>
      </c>
    </row>
    <row r="1675" spans="1:7" x14ac:dyDescent="0.25">
      <c r="A1675">
        <v>16067</v>
      </c>
      <c r="B1675" t="s">
        <v>427</v>
      </c>
      <c r="C1675" s="1">
        <v>44434</v>
      </c>
      <c r="D1675" s="1">
        <v>44826</v>
      </c>
      <c r="E1675">
        <v>134563</v>
      </c>
      <c r="F1675">
        <v>66977</v>
      </c>
      <c r="G1675">
        <v>67586</v>
      </c>
    </row>
    <row r="1676" spans="1:7" x14ac:dyDescent="0.25">
      <c r="A1676">
        <v>16067</v>
      </c>
      <c r="B1676" t="s">
        <v>427</v>
      </c>
      <c r="C1676" s="1">
        <v>44827</v>
      </c>
      <c r="D1676" s="1">
        <v>117974</v>
      </c>
      <c r="E1676">
        <v>133825</v>
      </c>
      <c r="F1676">
        <v>66616</v>
      </c>
      <c r="G1676">
        <v>67209</v>
      </c>
    </row>
    <row r="1677" spans="1:7" x14ac:dyDescent="0.25">
      <c r="A1677">
        <v>16068</v>
      </c>
      <c r="B1677" t="s">
        <v>428</v>
      </c>
      <c r="C1677" s="1">
        <v>43831</v>
      </c>
      <c r="D1677" s="1">
        <v>44111</v>
      </c>
      <c r="E1677">
        <v>69655</v>
      </c>
    </row>
    <row r="1678" spans="1:7" x14ac:dyDescent="0.25">
      <c r="A1678">
        <v>16068</v>
      </c>
      <c r="B1678" t="s">
        <v>428</v>
      </c>
      <c r="C1678" s="1">
        <v>44112</v>
      </c>
      <c r="D1678" s="1">
        <v>44433</v>
      </c>
      <c r="E1678">
        <v>69427</v>
      </c>
    </row>
    <row r="1679" spans="1:7" x14ac:dyDescent="0.25">
      <c r="A1679">
        <v>16068</v>
      </c>
      <c r="B1679" t="s">
        <v>428</v>
      </c>
      <c r="C1679" s="1">
        <v>44434</v>
      </c>
      <c r="D1679" s="1">
        <v>44826</v>
      </c>
      <c r="E1679">
        <v>69107</v>
      </c>
      <c r="F1679">
        <v>34504</v>
      </c>
      <c r="G1679">
        <v>34603</v>
      </c>
    </row>
    <row r="1680" spans="1:7" x14ac:dyDescent="0.25">
      <c r="A1680">
        <v>16068</v>
      </c>
      <c r="B1680" t="s">
        <v>428</v>
      </c>
      <c r="C1680" s="1">
        <v>44827</v>
      </c>
      <c r="D1680" s="1">
        <v>117974</v>
      </c>
      <c r="E1680">
        <v>68717</v>
      </c>
      <c r="F1680">
        <v>34399</v>
      </c>
      <c r="G1680">
        <v>34318</v>
      </c>
    </row>
    <row r="1681" spans="1:7" x14ac:dyDescent="0.25">
      <c r="A1681">
        <v>16069</v>
      </c>
      <c r="B1681" t="s">
        <v>429</v>
      </c>
      <c r="C1681" s="1">
        <v>43831</v>
      </c>
      <c r="D1681" s="1">
        <v>44111</v>
      </c>
      <c r="E1681">
        <v>63553</v>
      </c>
    </row>
    <row r="1682" spans="1:7" x14ac:dyDescent="0.25">
      <c r="A1682">
        <v>16069</v>
      </c>
      <c r="B1682" t="s">
        <v>429</v>
      </c>
      <c r="C1682" s="1">
        <v>44112</v>
      </c>
      <c r="D1682" s="1">
        <v>44433</v>
      </c>
      <c r="E1682">
        <v>63197</v>
      </c>
    </row>
    <row r="1683" spans="1:7" x14ac:dyDescent="0.25">
      <c r="A1683">
        <v>16069</v>
      </c>
      <c r="B1683" t="s">
        <v>429</v>
      </c>
      <c r="C1683" s="1">
        <v>44434</v>
      </c>
      <c r="D1683" s="1">
        <v>44826</v>
      </c>
      <c r="E1683">
        <v>62656</v>
      </c>
      <c r="F1683">
        <v>31343</v>
      </c>
      <c r="G1683">
        <v>31313</v>
      </c>
    </row>
    <row r="1684" spans="1:7" x14ac:dyDescent="0.25">
      <c r="A1684">
        <v>16069</v>
      </c>
      <c r="B1684" t="s">
        <v>429</v>
      </c>
      <c r="C1684" s="1">
        <v>44827</v>
      </c>
      <c r="D1684" s="1">
        <v>117974</v>
      </c>
      <c r="E1684">
        <v>62089</v>
      </c>
      <c r="F1684">
        <v>31089</v>
      </c>
      <c r="G1684">
        <v>31000</v>
      </c>
    </row>
    <row r="1685" spans="1:7" x14ac:dyDescent="0.25">
      <c r="A1685">
        <v>16070</v>
      </c>
      <c r="B1685" t="s">
        <v>430</v>
      </c>
      <c r="C1685" s="1">
        <v>43831</v>
      </c>
      <c r="D1685" s="1">
        <v>44111</v>
      </c>
      <c r="E1685">
        <v>108742</v>
      </c>
    </row>
    <row r="1686" spans="1:7" x14ac:dyDescent="0.25">
      <c r="A1686">
        <v>16070</v>
      </c>
      <c r="B1686" t="s">
        <v>430</v>
      </c>
      <c r="C1686" s="1">
        <v>44112</v>
      </c>
      <c r="D1686" s="1">
        <v>44433</v>
      </c>
      <c r="E1686">
        <v>106249</v>
      </c>
    </row>
    <row r="1687" spans="1:7" x14ac:dyDescent="0.25">
      <c r="A1687">
        <v>16070</v>
      </c>
      <c r="B1687" t="s">
        <v>430</v>
      </c>
      <c r="C1687" s="1">
        <v>44434</v>
      </c>
      <c r="D1687" s="1">
        <v>44826</v>
      </c>
      <c r="E1687">
        <v>105606</v>
      </c>
      <c r="F1687">
        <v>52985</v>
      </c>
      <c r="G1687">
        <v>52621</v>
      </c>
    </row>
    <row r="1688" spans="1:7" x14ac:dyDescent="0.25">
      <c r="A1688">
        <v>16070</v>
      </c>
      <c r="B1688" t="s">
        <v>430</v>
      </c>
      <c r="C1688" s="1">
        <v>44827</v>
      </c>
      <c r="D1688" s="1">
        <v>117974</v>
      </c>
      <c r="E1688">
        <v>105367</v>
      </c>
      <c r="F1688">
        <v>52958</v>
      </c>
      <c r="G1688">
        <v>52409</v>
      </c>
    </row>
    <row r="1689" spans="1:7" x14ac:dyDescent="0.25">
      <c r="A1689">
        <v>16071</v>
      </c>
      <c r="B1689" t="s">
        <v>431</v>
      </c>
      <c r="C1689" s="1">
        <v>43831</v>
      </c>
      <c r="D1689" s="1">
        <v>44111</v>
      </c>
      <c r="E1689">
        <v>81947</v>
      </c>
    </row>
    <row r="1690" spans="1:7" x14ac:dyDescent="0.25">
      <c r="A1690">
        <v>16071</v>
      </c>
      <c r="B1690" t="s">
        <v>431</v>
      </c>
      <c r="C1690" s="1">
        <v>44112</v>
      </c>
      <c r="D1690" s="1">
        <v>44433</v>
      </c>
      <c r="E1690">
        <v>82156</v>
      </c>
    </row>
    <row r="1691" spans="1:7" x14ac:dyDescent="0.25">
      <c r="A1691">
        <v>16071</v>
      </c>
      <c r="B1691" t="s">
        <v>431</v>
      </c>
      <c r="C1691" s="1">
        <v>44434</v>
      </c>
      <c r="D1691" s="1">
        <v>44826</v>
      </c>
      <c r="E1691">
        <v>82291</v>
      </c>
      <c r="F1691">
        <v>40740</v>
      </c>
      <c r="G1691">
        <v>41551</v>
      </c>
    </row>
    <row r="1692" spans="1:7" x14ac:dyDescent="0.25">
      <c r="A1692">
        <v>16071</v>
      </c>
      <c r="B1692" t="s">
        <v>431</v>
      </c>
      <c r="C1692" s="1">
        <v>44827</v>
      </c>
      <c r="D1692" s="1">
        <v>117974</v>
      </c>
      <c r="E1692">
        <v>82103</v>
      </c>
      <c r="F1692">
        <v>40655</v>
      </c>
      <c r="G1692">
        <v>41448</v>
      </c>
    </row>
    <row r="1693" spans="1:7" x14ac:dyDescent="0.25">
      <c r="A1693">
        <v>16072</v>
      </c>
      <c r="B1693" t="s">
        <v>432</v>
      </c>
      <c r="C1693" s="1">
        <v>43831</v>
      </c>
      <c r="D1693" s="1">
        <v>44111</v>
      </c>
      <c r="E1693">
        <v>56196</v>
      </c>
    </row>
    <row r="1694" spans="1:7" x14ac:dyDescent="0.25">
      <c r="A1694">
        <v>16072</v>
      </c>
      <c r="B1694" t="s">
        <v>432</v>
      </c>
      <c r="C1694" s="1">
        <v>44112</v>
      </c>
      <c r="D1694" s="1">
        <v>44433</v>
      </c>
      <c r="E1694">
        <v>57717</v>
      </c>
    </row>
    <row r="1695" spans="1:7" x14ac:dyDescent="0.25">
      <c r="A1695">
        <v>16072</v>
      </c>
      <c r="B1695" t="s">
        <v>432</v>
      </c>
      <c r="C1695" s="1">
        <v>44434</v>
      </c>
      <c r="D1695" s="1">
        <v>44826</v>
      </c>
      <c r="E1695">
        <v>57044</v>
      </c>
      <c r="F1695">
        <v>28071</v>
      </c>
      <c r="G1695">
        <v>28973</v>
      </c>
    </row>
    <row r="1696" spans="1:7" x14ac:dyDescent="0.25">
      <c r="A1696">
        <v>16072</v>
      </c>
      <c r="B1696" t="s">
        <v>432</v>
      </c>
      <c r="C1696" s="1">
        <v>44827</v>
      </c>
      <c r="D1696" s="1">
        <v>117974</v>
      </c>
      <c r="E1696">
        <v>56504</v>
      </c>
      <c r="F1696">
        <v>27927</v>
      </c>
      <c r="G1696">
        <v>28577</v>
      </c>
    </row>
    <row r="1697" spans="1:7" x14ac:dyDescent="0.25">
      <c r="A1697">
        <v>16073</v>
      </c>
      <c r="B1697" t="s">
        <v>433</v>
      </c>
      <c r="C1697" s="1">
        <v>43831</v>
      </c>
      <c r="D1697" s="1">
        <v>44111</v>
      </c>
      <c r="E1697">
        <v>106356</v>
      </c>
    </row>
    <row r="1698" spans="1:7" x14ac:dyDescent="0.25">
      <c r="A1698">
        <v>16073</v>
      </c>
      <c r="B1698" t="s">
        <v>433</v>
      </c>
      <c r="C1698" s="1">
        <v>44112</v>
      </c>
      <c r="D1698" s="1">
        <v>44433</v>
      </c>
      <c r="E1698">
        <v>103199</v>
      </c>
    </row>
    <row r="1699" spans="1:7" x14ac:dyDescent="0.25">
      <c r="A1699">
        <v>16073</v>
      </c>
      <c r="B1699" t="s">
        <v>433</v>
      </c>
      <c r="C1699" s="1">
        <v>44434</v>
      </c>
      <c r="D1699" s="1">
        <v>44826</v>
      </c>
      <c r="E1699">
        <v>102139</v>
      </c>
      <c r="F1699">
        <v>50306</v>
      </c>
      <c r="G1699">
        <v>51833</v>
      </c>
    </row>
    <row r="1700" spans="1:7" x14ac:dyDescent="0.25">
      <c r="A1700">
        <v>16073</v>
      </c>
      <c r="B1700" t="s">
        <v>433</v>
      </c>
      <c r="C1700" s="1">
        <v>44827</v>
      </c>
      <c r="D1700" s="1">
        <v>117974</v>
      </c>
      <c r="E1700">
        <v>100969</v>
      </c>
      <c r="F1700">
        <v>49808</v>
      </c>
      <c r="G1700">
        <v>51161</v>
      </c>
    </row>
    <row r="1701" spans="1:7" x14ac:dyDescent="0.25">
      <c r="A1701">
        <v>16074</v>
      </c>
      <c r="B1701" t="s">
        <v>434</v>
      </c>
      <c r="C1701" s="1">
        <v>43831</v>
      </c>
      <c r="D1701" s="1">
        <v>44111</v>
      </c>
      <c r="E1701">
        <v>83051</v>
      </c>
    </row>
    <row r="1702" spans="1:7" x14ac:dyDescent="0.25">
      <c r="A1702">
        <v>16074</v>
      </c>
      <c r="B1702" t="s">
        <v>434</v>
      </c>
      <c r="C1702" s="1">
        <v>44112</v>
      </c>
      <c r="D1702" s="1">
        <v>44433</v>
      </c>
      <c r="E1702">
        <v>82950</v>
      </c>
    </row>
    <row r="1703" spans="1:7" x14ac:dyDescent="0.25">
      <c r="A1703">
        <v>16074</v>
      </c>
      <c r="B1703" t="s">
        <v>434</v>
      </c>
      <c r="C1703" s="1">
        <v>44434</v>
      </c>
      <c r="D1703" s="1">
        <v>44826</v>
      </c>
      <c r="E1703">
        <v>82816</v>
      </c>
      <c r="F1703">
        <v>41139</v>
      </c>
      <c r="G1703">
        <v>41677</v>
      </c>
    </row>
    <row r="1704" spans="1:7" x14ac:dyDescent="0.25">
      <c r="A1704">
        <v>16074</v>
      </c>
      <c r="B1704" t="s">
        <v>434</v>
      </c>
      <c r="C1704" s="1">
        <v>44827</v>
      </c>
      <c r="D1704" s="1">
        <v>117974</v>
      </c>
      <c r="E1704">
        <v>82513</v>
      </c>
      <c r="F1704">
        <v>41034</v>
      </c>
      <c r="G1704">
        <v>41479</v>
      </c>
    </row>
    <row r="1705" spans="1:7" x14ac:dyDescent="0.25">
      <c r="A1705">
        <v>16075</v>
      </c>
      <c r="B1705" t="s">
        <v>435</v>
      </c>
      <c r="C1705" s="1">
        <v>43831</v>
      </c>
      <c r="D1705" s="1">
        <v>44111</v>
      </c>
      <c r="E1705">
        <v>80868</v>
      </c>
    </row>
    <row r="1706" spans="1:7" x14ac:dyDescent="0.25">
      <c r="A1706">
        <v>16075</v>
      </c>
      <c r="B1706" t="s">
        <v>435</v>
      </c>
      <c r="C1706" s="1">
        <v>44112</v>
      </c>
      <c r="D1706" s="1">
        <v>44433</v>
      </c>
      <c r="E1706">
        <v>80312</v>
      </c>
    </row>
    <row r="1707" spans="1:7" x14ac:dyDescent="0.25">
      <c r="A1707">
        <v>16075</v>
      </c>
      <c r="B1707" t="s">
        <v>435</v>
      </c>
      <c r="C1707" s="1">
        <v>44434</v>
      </c>
      <c r="D1707" s="1">
        <v>44826</v>
      </c>
      <c r="E1707">
        <v>79632</v>
      </c>
      <c r="F1707">
        <v>39579</v>
      </c>
      <c r="G1707">
        <v>40053</v>
      </c>
    </row>
    <row r="1708" spans="1:7" x14ac:dyDescent="0.25">
      <c r="A1708">
        <v>16075</v>
      </c>
      <c r="B1708" t="s">
        <v>435</v>
      </c>
      <c r="C1708" s="1">
        <v>44827</v>
      </c>
      <c r="D1708" s="1">
        <v>117974</v>
      </c>
      <c r="E1708">
        <v>79030</v>
      </c>
      <c r="F1708">
        <v>39308</v>
      </c>
      <c r="G1708">
        <v>39722</v>
      </c>
    </row>
    <row r="1709" spans="1:7" x14ac:dyDescent="0.25">
      <c r="A1709">
        <v>16076</v>
      </c>
      <c r="B1709" t="s">
        <v>436</v>
      </c>
      <c r="C1709" s="1">
        <v>43831</v>
      </c>
      <c r="D1709" s="1">
        <v>44111</v>
      </c>
      <c r="E1709">
        <v>98159</v>
      </c>
    </row>
    <row r="1710" spans="1:7" x14ac:dyDescent="0.25">
      <c r="A1710">
        <v>16076</v>
      </c>
      <c r="B1710" t="s">
        <v>436</v>
      </c>
      <c r="C1710" s="1">
        <v>44112</v>
      </c>
      <c r="D1710" s="1">
        <v>44433</v>
      </c>
      <c r="E1710">
        <v>97398</v>
      </c>
    </row>
    <row r="1711" spans="1:7" x14ac:dyDescent="0.25">
      <c r="A1711">
        <v>16076</v>
      </c>
      <c r="B1711" t="s">
        <v>436</v>
      </c>
      <c r="C1711" s="1">
        <v>44434</v>
      </c>
      <c r="D1711" s="1">
        <v>44826</v>
      </c>
      <c r="E1711">
        <v>96668</v>
      </c>
      <c r="F1711">
        <v>47659</v>
      </c>
      <c r="G1711">
        <v>49009</v>
      </c>
    </row>
    <row r="1712" spans="1:7" x14ac:dyDescent="0.25">
      <c r="A1712">
        <v>16076</v>
      </c>
      <c r="B1712" t="s">
        <v>436</v>
      </c>
      <c r="C1712" s="1">
        <v>44827</v>
      </c>
      <c r="D1712" s="1">
        <v>117974</v>
      </c>
      <c r="E1712">
        <v>96102</v>
      </c>
      <c r="F1712">
        <v>47405</v>
      </c>
      <c r="G1712">
        <v>48697</v>
      </c>
    </row>
    <row r="1713" spans="1:7" x14ac:dyDescent="0.25">
      <c r="A1713">
        <v>16077</v>
      </c>
      <c r="B1713" t="s">
        <v>437</v>
      </c>
      <c r="C1713" s="1">
        <v>43831</v>
      </c>
      <c r="D1713" s="1">
        <v>44111</v>
      </c>
      <c r="E1713">
        <v>90118</v>
      </c>
    </row>
    <row r="1714" spans="1:7" x14ac:dyDescent="0.25">
      <c r="A1714">
        <v>16077</v>
      </c>
      <c r="B1714" t="s">
        <v>437</v>
      </c>
      <c r="C1714" s="1">
        <v>44112</v>
      </c>
      <c r="D1714" s="1">
        <v>44433</v>
      </c>
      <c r="E1714">
        <v>89393</v>
      </c>
    </row>
    <row r="1715" spans="1:7" x14ac:dyDescent="0.25">
      <c r="A1715">
        <v>16077</v>
      </c>
      <c r="B1715" t="s">
        <v>437</v>
      </c>
      <c r="C1715" s="1">
        <v>44434</v>
      </c>
      <c r="D1715" s="1">
        <v>44826</v>
      </c>
      <c r="E1715">
        <v>88356</v>
      </c>
      <c r="F1715">
        <v>43215</v>
      </c>
      <c r="G1715">
        <v>45141</v>
      </c>
    </row>
    <row r="1716" spans="1:7" x14ac:dyDescent="0.25">
      <c r="A1716">
        <v>16077</v>
      </c>
      <c r="B1716" t="s">
        <v>437</v>
      </c>
      <c r="C1716" s="1">
        <v>44827</v>
      </c>
      <c r="D1716" s="1">
        <v>117974</v>
      </c>
      <c r="E1716">
        <v>87807</v>
      </c>
      <c r="F1716">
        <v>42908</v>
      </c>
      <c r="G1716">
        <v>44899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1716"/>
  <sheetViews>
    <sheetView workbookViewId="0">
      <selection activeCell="G1716" sqref="A1:G1716"/>
    </sheetView>
  </sheetViews>
  <sheetFormatPr baseColWidth="10" defaultRowHeight="15" x14ac:dyDescent="0.25"/>
  <cols>
    <col min="1" max="1" width="6" bestFit="1" customWidth="1"/>
    <col min="2" max="2" width="35.140625" bestFit="1" customWidth="1"/>
    <col min="3" max="4" width="10.140625" bestFit="1" customWidth="1"/>
    <col min="5" max="5" width="10.5703125" bestFit="1" customWidth="1"/>
    <col min="6" max="6" width="9.140625" bestFit="1" customWidth="1"/>
    <col min="7" max="7" width="9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514</v>
      </c>
      <c r="G1" t="s">
        <v>515</v>
      </c>
    </row>
    <row r="2" spans="1:7" x14ac:dyDescent="0.25">
      <c r="A2">
        <v>0</v>
      </c>
      <c r="B2" t="s">
        <v>5</v>
      </c>
      <c r="C2" s="1">
        <v>43831</v>
      </c>
      <c r="D2" s="1">
        <v>44111</v>
      </c>
      <c r="E2">
        <v>83122535</v>
      </c>
    </row>
    <row r="3" spans="1:7" x14ac:dyDescent="0.25">
      <c r="A3">
        <v>0</v>
      </c>
      <c r="B3" t="s">
        <v>5</v>
      </c>
      <c r="C3" s="1">
        <v>44112</v>
      </c>
      <c r="D3" s="1">
        <v>44433</v>
      </c>
      <c r="E3">
        <v>83166711</v>
      </c>
    </row>
    <row r="4" spans="1:7" x14ac:dyDescent="0.25">
      <c r="A4">
        <v>0</v>
      </c>
      <c r="B4" t="s">
        <v>5</v>
      </c>
      <c r="C4" s="1">
        <v>44434</v>
      </c>
      <c r="D4" s="1">
        <v>44826</v>
      </c>
      <c r="E4">
        <v>83155031</v>
      </c>
      <c r="F4">
        <v>41026534</v>
      </c>
      <c r="G4">
        <v>42128547</v>
      </c>
    </row>
    <row r="5" spans="1:7" x14ac:dyDescent="0.25">
      <c r="A5">
        <v>0</v>
      </c>
      <c r="B5" t="s">
        <v>5</v>
      </c>
      <c r="C5" s="1">
        <v>44827</v>
      </c>
      <c r="D5" s="1">
        <v>117974</v>
      </c>
      <c r="E5">
        <v>83237124</v>
      </c>
      <c r="F5">
        <v>41066785</v>
      </c>
      <c r="G5">
        <v>42170339</v>
      </c>
    </row>
    <row r="6" spans="1:7" x14ac:dyDescent="0.25">
      <c r="A6">
        <v>1</v>
      </c>
      <c r="B6" t="s">
        <v>6</v>
      </c>
      <c r="C6" s="1">
        <v>43831</v>
      </c>
      <c r="D6" s="1">
        <v>44111</v>
      </c>
      <c r="E6">
        <v>2896712</v>
      </c>
    </row>
    <row r="7" spans="1:7" x14ac:dyDescent="0.25">
      <c r="A7">
        <v>1</v>
      </c>
      <c r="B7" t="s">
        <v>6</v>
      </c>
      <c r="C7" s="1">
        <v>44112</v>
      </c>
      <c r="D7" s="1">
        <v>44433</v>
      </c>
      <c r="E7">
        <v>2903773</v>
      </c>
    </row>
    <row r="8" spans="1:7" x14ac:dyDescent="0.25">
      <c r="A8">
        <v>1</v>
      </c>
      <c r="B8" t="s">
        <v>6</v>
      </c>
      <c r="C8" s="1">
        <v>44434</v>
      </c>
      <c r="D8" s="1">
        <v>44826</v>
      </c>
      <c r="E8">
        <v>2910875</v>
      </c>
      <c r="F8">
        <v>1425649</v>
      </c>
      <c r="G8">
        <v>1485226</v>
      </c>
    </row>
    <row r="9" spans="1:7" x14ac:dyDescent="0.25">
      <c r="A9">
        <v>1</v>
      </c>
      <c r="B9" t="s">
        <v>6</v>
      </c>
      <c r="C9" s="1">
        <v>44827</v>
      </c>
      <c r="D9" s="1">
        <v>117974</v>
      </c>
      <c r="E9">
        <v>2922005</v>
      </c>
      <c r="F9">
        <v>1431064</v>
      </c>
      <c r="G9">
        <v>1490941</v>
      </c>
    </row>
    <row r="10" spans="1:7" x14ac:dyDescent="0.25">
      <c r="A10">
        <v>1001</v>
      </c>
      <c r="B10" t="s">
        <v>7</v>
      </c>
      <c r="C10" s="1">
        <v>43831</v>
      </c>
      <c r="D10" s="1">
        <v>44111</v>
      </c>
      <c r="E10">
        <v>89504</v>
      </c>
    </row>
    <row r="11" spans="1:7" x14ac:dyDescent="0.25">
      <c r="A11">
        <v>1001</v>
      </c>
      <c r="B11" t="s">
        <v>7</v>
      </c>
      <c r="C11" s="1">
        <v>44112</v>
      </c>
      <c r="D11" s="1">
        <v>44433</v>
      </c>
      <c r="E11">
        <v>90164</v>
      </c>
    </row>
    <row r="12" spans="1:7" x14ac:dyDescent="0.25">
      <c r="A12">
        <v>1001</v>
      </c>
      <c r="B12" t="s">
        <v>7</v>
      </c>
      <c r="C12" s="1">
        <v>44434</v>
      </c>
      <c r="D12" s="1">
        <v>44826</v>
      </c>
      <c r="E12">
        <v>89934</v>
      </c>
      <c r="F12">
        <v>44797</v>
      </c>
      <c r="G12">
        <v>45137</v>
      </c>
    </row>
    <row r="13" spans="1:7" x14ac:dyDescent="0.25">
      <c r="A13">
        <v>1001</v>
      </c>
      <c r="B13" t="s">
        <v>7</v>
      </c>
      <c r="C13" s="1">
        <v>44827</v>
      </c>
      <c r="D13" s="1">
        <v>117974</v>
      </c>
      <c r="E13">
        <v>91113</v>
      </c>
      <c r="F13">
        <v>45336</v>
      </c>
      <c r="G13">
        <v>45777</v>
      </c>
    </row>
    <row r="14" spans="1:7" x14ac:dyDescent="0.25">
      <c r="A14">
        <v>1002</v>
      </c>
      <c r="B14" t="s">
        <v>8</v>
      </c>
      <c r="C14" s="1">
        <v>43831</v>
      </c>
      <c r="D14" s="1">
        <v>44111</v>
      </c>
      <c r="E14">
        <v>247548</v>
      </c>
    </row>
    <row r="15" spans="1:7" x14ac:dyDescent="0.25">
      <c r="A15">
        <v>1002</v>
      </c>
      <c r="B15" t="s">
        <v>8</v>
      </c>
      <c r="C15" s="1">
        <v>44112</v>
      </c>
      <c r="D15" s="1">
        <v>44433</v>
      </c>
      <c r="E15">
        <v>246794</v>
      </c>
    </row>
    <row r="16" spans="1:7" x14ac:dyDescent="0.25">
      <c r="A16">
        <v>1002</v>
      </c>
      <c r="B16" t="s">
        <v>8</v>
      </c>
      <c r="C16" s="1">
        <v>44434</v>
      </c>
      <c r="D16" s="1">
        <v>44826</v>
      </c>
      <c r="E16">
        <v>246601</v>
      </c>
      <c r="F16">
        <v>120045</v>
      </c>
      <c r="G16">
        <v>126556</v>
      </c>
    </row>
    <row r="17" spans="1:7" x14ac:dyDescent="0.25">
      <c r="A17">
        <v>1002</v>
      </c>
      <c r="B17" t="s">
        <v>8</v>
      </c>
      <c r="C17" s="1">
        <v>44827</v>
      </c>
      <c r="D17" s="1">
        <v>117974</v>
      </c>
      <c r="E17">
        <v>246243</v>
      </c>
      <c r="F17">
        <v>119860</v>
      </c>
      <c r="G17">
        <v>126383</v>
      </c>
    </row>
    <row r="18" spans="1:7" x14ac:dyDescent="0.25">
      <c r="A18">
        <v>1003</v>
      </c>
      <c r="B18" t="s">
        <v>9</v>
      </c>
      <c r="C18" s="1">
        <v>43831</v>
      </c>
      <c r="D18" s="1">
        <v>44111</v>
      </c>
      <c r="E18">
        <v>217198</v>
      </c>
    </row>
    <row r="19" spans="1:7" x14ac:dyDescent="0.25">
      <c r="A19">
        <v>1003</v>
      </c>
      <c r="B19" t="s">
        <v>9</v>
      </c>
      <c r="C19" s="1">
        <v>44112</v>
      </c>
      <c r="D19" s="1">
        <v>44433</v>
      </c>
      <c r="E19">
        <v>216530</v>
      </c>
    </row>
    <row r="20" spans="1:7" x14ac:dyDescent="0.25">
      <c r="A20">
        <v>1003</v>
      </c>
      <c r="B20" t="s">
        <v>9</v>
      </c>
      <c r="C20" s="1">
        <v>44434</v>
      </c>
      <c r="D20" s="1">
        <v>44826</v>
      </c>
      <c r="E20">
        <v>215846</v>
      </c>
      <c r="F20">
        <v>103623</v>
      </c>
      <c r="G20">
        <v>112223</v>
      </c>
    </row>
    <row r="21" spans="1:7" x14ac:dyDescent="0.25">
      <c r="A21">
        <v>1003</v>
      </c>
      <c r="B21" t="s">
        <v>9</v>
      </c>
      <c r="C21" s="1">
        <v>44827</v>
      </c>
      <c r="D21" s="1">
        <v>117974</v>
      </c>
      <c r="E21">
        <v>216277</v>
      </c>
      <c r="F21">
        <v>104005</v>
      </c>
      <c r="G21">
        <v>112272</v>
      </c>
    </row>
    <row r="22" spans="1:7" x14ac:dyDescent="0.25">
      <c r="A22">
        <v>1004</v>
      </c>
      <c r="B22" t="s">
        <v>10</v>
      </c>
      <c r="C22" s="1">
        <v>43831</v>
      </c>
      <c r="D22" s="1">
        <v>44111</v>
      </c>
      <c r="E22">
        <v>79487</v>
      </c>
    </row>
    <row r="23" spans="1:7" x14ac:dyDescent="0.25">
      <c r="A23">
        <v>1004</v>
      </c>
      <c r="B23" t="s">
        <v>10</v>
      </c>
      <c r="C23" s="1">
        <v>44112</v>
      </c>
      <c r="D23" s="1">
        <v>44433</v>
      </c>
      <c r="E23">
        <v>80196</v>
      </c>
    </row>
    <row r="24" spans="1:7" x14ac:dyDescent="0.25">
      <c r="A24">
        <v>1004</v>
      </c>
      <c r="B24" t="s">
        <v>10</v>
      </c>
      <c r="C24" s="1">
        <v>44434</v>
      </c>
      <c r="D24" s="1">
        <v>44826</v>
      </c>
      <c r="E24">
        <v>79905</v>
      </c>
      <c r="F24">
        <v>39558</v>
      </c>
      <c r="G24">
        <v>40347</v>
      </c>
    </row>
    <row r="25" spans="1:7" x14ac:dyDescent="0.25">
      <c r="A25">
        <v>1004</v>
      </c>
      <c r="B25" t="s">
        <v>10</v>
      </c>
      <c r="C25" s="1">
        <v>44827</v>
      </c>
      <c r="D25" s="1">
        <v>117974</v>
      </c>
      <c r="E25">
        <v>79496</v>
      </c>
      <c r="F25">
        <v>39382</v>
      </c>
      <c r="G25">
        <v>40114</v>
      </c>
    </row>
    <row r="26" spans="1:7" x14ac:dyDescent="0.25">
      <c r="A26">
        <v>1051</v>
      </c>
      <c r="B26" t="s">
        <v>11</v>
      </c>
      <c r="C26" s="1">
        <v>43831</v>
      </c>
      <c r="D26" s="1">
        <v>44111</v>
      </c>
      <c r="E26">
        <v>133210</v>
      </c>
    </row>
    <row r="27" spans="1:7" x14ac:dyDescent="0.25">
      <c r="A27">
        <v>1051</v>
      </c>
      <c r="B27" t="s">
        <v>11</v>
      </c>
      <c r="C27" s="1">
        <v>44112</v>
      </c>
      <c r="D27" s="1">
        <v>44433</v>
      </c>
      <c r="E27">
        <v>133193</v>
      </c>
    </row>
    <row r="28" spans="1:7" x14ac:dyDescent="0.25">
      <c r="A28">
        <v>1051</v>
      </c>
      <c r="B28" t="s">
        <v>11</v>
      </c>
      <c r="C28" s="1">
        <v>44434</v>
      </c>
      <c r="D28" s="1">
        <v>44826</v>
      </c>
      <c r="E28">
        <v>133251</v>
      </c>
      <c r="F28">
        <v>65711</v>
      </c>
      <c r="G28">
        <v>67540</v>
      </c>
    </row>
    <row r="29" spans="1:7" x14ac:dyDescent="0.25">
      <c r="A29">
        <v>1051</v>
      </c>
      <c r="B29" t="s">
        <v>11</v>
      </c>
      <c r="C29" s="1">
        <v>44827</v>
      </c>
      <c r="D29" s="1">
        <v>117974</v>
      </c>
      <c r="E29">
        <v>133969</v>
      </c>
      <c r="F29">
        <v>66046</v>
      </c>
      <c r="G29">
        <v>67923</v>
      </c>
    </row>
    <row r="30" spans="1:7" x14ac:dyDescent="0.25">
      <c r="A30">
        <v>1053</v>
      </c>
      <c r="B30" t="s">
        <v>12</v>
      </c>
      <c r="C30" s="1">
        <v>43831</v>
      </c>
      <c r="D30" s="1">
        <v>44111</v>
      </c>
      <c r="E30">
        <v>197264</v>
      </c>
    </row>
    <row r="31" spans="1:7" x14ac:dyDescent="0.25">
      <c r="A31">
        <v>1053</v>
      </c>
      <c r="B31" t="s">
        <v>12</v>
      </c>
      <c r="C31" s="1">
        <v>44112</v>
      </c>
      <c r="D31" s="1">
        <v>44433</v>
      </c>
      <c r="E31">
        <v>198019</v>
      </c>
    </row>
    <row r="32" spans="1:7" x14ac:dyDescent="0.25">
      <c r="A32">
        <v>1053</v>
      </c>
      <c r="B32" t="s">
        <v>12</v>
      </c>
      <c r="C32" s="1">
        <v>44434</v>
      </c>
      <c r="D32" s="1">
        <v>44826</v>
      </c>
      <c r="E32">
        <v>199152</v>
      </c>
      <c r="F32">
        <v>97730</v>
      </c>
      <c r="G32">
        <v>101422</v>
      </c>
    </row>
    <row r="33" spans="1:7" x14ac:dyDescent="0.25">
      <c r="A33">
        <v>1053</v>
      </c>
      <c r="B33" t="s">
        <v>12</v>
      </c>
      <c r="C33" s="1">
        <v>44827</v>
      </c>
      <c r="D33" s="1">
        <v>117974</v>
      </c>
      <c r="E33">
        <v>200819</v>
      </c>
      <c r="F33">
        <v>98622</v>
      </c>
      <c r="G33">
        <v>102197</v>
      </c>
    </row>
    <row r="34" spans="1:7" x14ac:dyDescent="0.25">
      <c r="A34">
        <v>1054</v>
      </c>
      <c r="B34" t="s">
        <v>13</v>
      </c>
      <c r="C34" s="1">
        <v>43831</v>
      </c>
      <c r="D34" s="1">
        <v>44111</v>
      </c>
      <c r="E34">
        <v>165507</v>
      </c>
    </row>
    <row r="35" spans="1:7" x14ac:dyDescent="0.25">
      <c r="A35">
        <v>1054</v>
      </c>
      <c r="B35" t="s">
        <v>13</v>
      </c>
      <c r="C35" s="1">
        <v>44112</v>
      </c>
      <c r="D35" s="1">
        <v>44433</v>
      </c>
      <c r="E35">
        <v>165951</v>
      </c>
    </row>
    <row r="36" spans="1:7" x14ac:dyDescent="0.25">
      <c r="A36">
        <v>1054</v>
      </c>
      <c r="B36" t="s">
        <v>13</v>
      </c>
      <c r="C36" s="1">
        <v>44434</v>
      </c>
      <c r="D36" s="1">
        <v>44826</v>
      </c>
      <c r="E36">
        <v>167147</v>
      </c>
      <c r="F36">
        <v>81789</v>
      </c>
      <c r="G36">
        <v>85358</v>
      </c>
    </row>
    <row r="37" spans="1:7" x14ac:dyDescent="0.25">
      <c r="A37">
        <v>1054</v>
      </c>
      <c r="B37" t="s">
        <v>13</v>
      </c>
      <c r="C37" s="1">
        <v>44827</v>
      </c>
      <c r="D37" s="1">
        <v>117974</v>
      </c>
      <c r="E37">
        <v>167560</v>
      </c>
      <c r="F37">
        <v>82039</v>
      </c>
      <c r="G37">
        <v>85521</v>
      </c>
    </row>
    <row r="38" spans="1:7" x14ac:dyDescent="0.25">
      <c r="A38">
        <v>1055</v>
      </c>
      <c r="B38" t="s">
        <v>14</v>
      </c>
      <c r="C38" s="1">
        <v>43831</v>
      </c>
      <c r="D38" s="1">
        <v>44111</v>
      </c>
      <c r="E38">
        <v>200581</v>
      </c>
    </row>
    <row r="39" spans="1:7" x14ac:dyDescent="0.25">
      <c r="A39">
        <v>1055</v>
      </c>
      <c r="B39" t="s">
        <v>14</v>
      </c>
      <c r="C39" s="1">
        <v>44112</v>
      </c>
      <c r="D39" s="1">
        <v>44433</v>
      </c>
      <c r="E39">
        <v>200539</v>
      </c>
    </row>
    <row r="40" spans="1:7" x14ac:dyDescent="0.25">
      <c r="A40">
        <v>1055</v>
      </c>
      <c r="B40" t="s">
        <v>14</v>
      </c>
      <c r="C40" s="1">
        <v>44434</v>
      </c>
      <c r="D40" s="1">
        <v>44826</v>
      </c>
      <c r="E40">
        <v>201487</v>
      </c>
      <c r="F40">
        <v>97171</v>
      </c>
      <c r="G40">
        <v>104316</v>
      </c>
    </row>
    <row r="41" spans="1:7" x14ac:dyDescent="0.25">
      <c r="A41">
        <v>1055</v>
      </c>
      <c r="B41" t="s">
        <v>14</v>
      </c>
      <c r="C41" s="1">
        <v>44827</v>
      </c>
      <c r="D41" s="1">
        <v>117974</v>
      </c>
      <c r="E41">
        <v>202014</v>
      </c>
      <c r="F41">
        <v>97423</v>
      </c>
      <c r="G41">
        <v>104591</v>
      </c>
    </row>
    <row r="42" spans="1:7" x14ac:dyDescent="0.25">
      <c r="A42">
        <v>1056</v>
      </c>
      <c r="B42" t="s">
        <v>15</v>
      </c>
      <c r="C42" s="1">
        <v>43831</v>
      </c>
      <c r="D42" s="1">
        <v>44111</v>
      </c>
      <c r="E42">
        <v>314391</v>
      </c>
    </row>
    <row r="43" spans="1:7" x14ac:dyDescent="0.25">
      <c r="A43">
        <v>1056</v>
      </c>
      <c r="B43" t="s">
        <v>15</v>
      </c>
      <c r="C43" s="1">
        <v>44112</v>
      </c>
      <c r="D43" s="1">
        <v>44433</v>
      </c>
      <c r="E43">
        <v>316103</v>
      </c>
    </row>
    <row r="44" spans="1:7" x14ac:dyDescent="0.25">
      <c r="A44">
        <v>1056</v>
      </c>
      <c r="B44" t="s">
        <v>15</v>
      </c>
      <c r="C44" s="1">
        <v>44434</v>
      </c>
      <c r="D44" s="1">
        <v>44826</v>
      </c>
      <c r="E44">
        <v>317085</v>
      </c>
      <c r="F44">
        <v>155554</v>
      </c>
      <c r="G44">
        <v>161531</v>
      </c>
    </row>
    <row r="45" spans="1:7" x14ac:dyDescent="0.25">
      <c r="A45">
        <v>1056</v>
      </c>
      <c r="B45" t="s">
        <v>15</v>
      </c>
      <c r="C45" s="1">
        <v>44827</v>
      </c>
      <c r="D45" s="1">
        <v>117974</v>
      </c>
      <c r="E45">
        <v>318326</v>
      </c>
      <c r="F45">
        <v>156244</v>
      </c>
      <c r="G45">
        <v>162082</v>
      </c>
    </row>
    <row r="46" spans="1:7" x14ac:dyDescent="0.25">
      <c r="A46">
        <v>1057</v>
      </c>
      <c r="B46" t="s">
        <v>16</v>
      </c>
      <c r="C46" s="1">
        <v>43831</v>
      </c>
      <c r="D46" s="1">
        <v>44111</v>
      </c>
      <c r="E46">
        <v>128647</v>
      </c>
    </row>
    <row r="47" spans="1:7" x14ac:dyDescent="0.25">
      <c r="A47">
        <v>1057</v>
      </c>
      <c r="B47" t="s">
        <v>16</v>
      </c>
      <c r="C47" s="1">
        <v>44112</v>
      </c>
      <c r="D47" s="1">
        <v>44433</v>
      </c>
      <c r="E47">
        <v>128686</v>
      </c>
    </row>
    <row r="48" spans="1:7" x14ac:dyDescent="0.25">
      <c r="A48">
        <v>1057</v>
      </c>
      <c r="B48" t="s">
        <v>16</v>
      </c>
      <c r="C48" s="1">
        <v>44434</v>
      </c>
      <c r="D48" s="1">
        <v>44826</v>
      </c>
      <c r="E48">
        <v>129353</v>
      </c>
      <c r="F48">
        <v>62674</v>
      </c>
      <c r="G48">
        <v>66679</v>
      </c>
    </row>
    <row r="49" spans="1:7" x14ac:dyDescent="0.25">
      <c r="A49">
        <v>1057</v>
      </c>
      <c r="B49" t="s">
        <v>16</v>
      </c>
      <c r="C49" s="1">
        <v>44827</v>
      </c>
      <c r="D49" s="1">
        <v>117974</v>
      </c>
      <c r="E49">
        <v>129687</v>
      </c>
      <c r="F49">
        <v>62753</v>
      </c>
      <c r="G49">
        <v>66934</v>
      </c>
    </row>
    <row r="50" spans="1:7" x14ac:dyDescent="0.25">
      <c r="A50">
        <v>1058</v>
      </c>
      <c r="B50" t="s">
        <v>17</v>
      </c>
      <c r="C50" s="1">
        <v>43831</v>
      </c>
      <c r="D50" s="1">
        <v>44111</v>
      </c>
      <c r="E50">
        <v>272775</v>
      </c>
    </row>
    <row r="51" spans="1:7" x14ac:dyDescent="0.25">
      <c r="A51">
        <v>1058</v>
      </c>
      <c r="B51" t="s">
        <v>17</v>
      </c>
      <c r="C51" s="1">
        <v>44112</v>
      </c>
      <c r="D51" s="1">
        <v>44433</v>
      </c>
      <c r="E51">
        <v>274098</v>
      </c>
    </row>
    <row r="52" spans="1:7" x14ac:dyDescent="0.25">
      <c r="A52">
        <v>1058</v>
      </c>
      <c r="B52" t="s">
        <v>17</v>
      </c>
      <c r="C52" s="1">
        <v>44434</v>
      </c>
      <c r="D52" s="1">
        <v>44826</v>
      </c>
      <c r="E52">
        <v>274765</v>
      </c>
      <c r="F52">
        <v>135219</v>
      </c>
      <c r="G52">
        <v>139546</v>
      </c>
    </row>
    <row r="53" spans="1:7" x14ac:dyDescent="0.25">
      <c r="A53">
        <v>1058</v>
      </c>
      <c r="B53" t="s">
        <v>17</v>
      </c>
      <c r="C53" s="1">
        <v>44827</v>
      </c>
      <c r="D53" s="1">
        <v>117974</v>
      </c>
      <c r="E53">
        <v>276053</v>
      </c>
      <c r="F53">
        <v>135883</v>
      </c>
      <c r="G53">
        <v>140170</v>
      </c>
    </row>
    <row r="54" spans="1:7" x14ac:dyDescent="0.25">
      <c r="A54">
        <v>1059</v>
      </c>
      <c r="B54" t="s">
        <v>18</v>
      </c>
      <c r="C54" s="1">
        <v>43831</v>
      </c>
      <c r="D54" s="1">
        <v>44111</v>
      </c>
      <c r="E54">
        <v>200025</v>
      </c>
    </row>
    <row r="55" spans="1:7" x14ac:dyDescent="0.25">
      <c r="A55">
        <v>1059</v>
      </c>
      <c r="B55" t="s">
        <v>18</v>
      </c>
      <c r="C55" s="1">
        <v>44112</v>
      </c>
      <c r="D55" s="1">
        <v>44433</v>
      </c>
      <c r="E55">
        <v>201156</v>
      </c>
    </row>
    <row r="56" spans="1:7" x14ac:dyDescent="0.25">
      <c r="A56">
        <v>1059</v>
      </c>
      <c r="B56" t="s">
        <v>18</v>
      </c>
      <c r="C56" s="1">
        <v>44434</v>
      </c>
      <c r="D56" s="1">
        <v>44826</v>
      </c>
      <c r="E56">
        <v>202647</v>
      </c>
      <c r="F56">
        <v>100209</v>
      </c>
      <c r="G56">
        <v>102438</v>
      </c>
    </row>
    <row r="57" spans="1:7" x14ac:dyDescent="0.25">
      <c r="A57">
        <v>1059</v>
      </c>
      <c r="B57" t="s">
        <v>18</v>
      </c>
      <c r="C57" s="1">
        <v>44827</v>
      </c>
      <c r="D57" s="1">
        <v>117974</v>
      </c>
      <c r="E57">
        <v>203799</v>
      </c>
      <c r="F57">
        <v>100681</v>
      </c>
      <c r="G57">
        <v>103118</v>
      </c>
    </row>
    <row r="58" spans="1:7" x14ac:dyDescent="0.25">
      <c r="A58">
        <v>1060</v>
      </c>
      <c r="B58" t="s">
        <v>19</v>
      </c>
      <c r="C58" s="1">
        <v>43831</v>
      </c>
      <c r="D58" s="1">
        <v>44111</v>
      </c>
      <c r="E58">
        <v>276032</v>
      </c>
    </row>
    <row r="59" spans="1:7" x14ac:dyDescent="0.25">
      <c r="A59">
        <v>1060</v>
      </c>
      <c r="B59" t="s">
        <v>19</v>
      </c>
      <c r="C59" s="1">
        <v>44112</v>
      </c>
      <c r="D59" s="1">
        <v>44433</v>
      </c>
      <c r="E59">
        <v>277175</v>
      </c>
    </row>
    <row r="60" spans="1:7" x14ac:dyDescent="0.25">
      <c r="A60">
        <v>1060</v>
      </c>
      <c r="B60" t="s">
        <v>19</v>
      </c>
      <c r="C60" s="1">
        <v>44434</v>
      </c>
      <c r="D60" s="1">
        <v>44826</v>
      </c>
      <c r="E60">
        <v>278007</v>
      </c>
      <c r="F60">
        <v>137269</v>
      </c>
      <c r="G60">
        <v>140738</v>
      </c>
    </row>
    <row r="61" spans="1:7" x14ac:dyDescent="0.25">
      <c r="A61">
        <v>1060</v>
      </c>
      <c r="B61" t="s">
        <v>19</v>
      </c>
      <c r="C61" s="1">
        <v>44827</v>
      </c>
      <c r="D61" s="1">
        <v>117974</v>
      </c>
      <c r="E61">
        <v>280400</v>
      </c>
      <c r="F61">
        <v>138337</v>
      </c>
      <c r="G61">
        <v>142063</v>
      </c>
    </row>
    <row r="62" spans="1:7" x14ac:dyDescent="0.25">
      <c r="A62">
        <v>1061</v>
      </c>
      <c r="B62" t="s">
        <v>20</v>
      </c>
      <c r="C62" s="1">
        <v>43831</v>
      </c>
      <c r="D62" s="1">
        <v>44111</v>
      </c>
      <c r="E62">
        <v>131347</v>
      </c>
    </row>
    <row r="63" spans="1:7" x14ac:dyDescent="0.25">
      <c r="A63">
        <v>1061</v>
      </c>
      <c r="B63" t="s">
        <v>20</v>
      </c>
      <c r="C63" s="1">
        <v>44112</v>
      </c>
      <c r="D63" s="1">
        <v>44433</v>
      </c>
      <c r="E63">
        <v>131013</v>
      </c>
    </row>
    <row r="64" spans="1:7" x14ac:dyDescent="0.25">
      <c r="A64">
        <v>1061</v>
      </c>
      <c r="B64" t="s">
        <v>20</v>
      </c>
      <c r="C64" s="1">
        <v>44434</v>
      </c>
      <c r="D64" s="1">
        <v>44826</v>
      </c>
      <c r="E64">
        <v>130706</v>
      </c>
      <c r="F64">
        <v>64570</v>
      </c>
      <c r="G64">
        <v>66136</v>
      </c>
    </row>
    <row r="65" spans="1:7" x14ac:dyDescent="0.25">
      <c r="A65">
        <v>1061</v>
      </c>
      <c r="B65" t="s">
        <v>20</v>
      </c>
      <c r="C65" s="1">
        <v>44827</v>
      </c>
      <c r="D65" s="1">
        <v>117974</v>
      </c>
      <c r="E65">
        <v>130843</v>
      </c>
      <c r="F65">
        <v>64611</v>
      </c>
      <c r="G65">
        <v>66232</v>
      </c>
    </row>
    <row r="66" spans="1:7" x14ac:dyDescent="0.25">
      <c r="A66">
        <v>1062</v>
      </c>
      <c r="B66" t="s">
        <v>21</v>
      </c>
      <c r="C66" s="1">
        <v>43831</v>
      </c>
      <c r="D66" s="1">
        <v>44111</v>
      </c>
      <c r="E66">
        <v>243196</v>
      </c>
    </row>
    <row r="67" spans="1:7" x14ac:dyDescent="0.25">
      <c r="A67">
        <v>1062</v>
      </c>
      <c r="B67" t="s">
        <v>21</v>
      </c>
      <c r="C67" s="1">
        <v>44112</v>
      </c>
      <c r="D67" s="1">
        <v>44433</v>
      </c>
      <c r="E67">
        <v>244156</v>
      </c>
    </row>
    <row r="68" spans="1:7" x14ac:dyDescent="0.25">
      <c r="A68">
        <v>1062</v>
      </c>
      <c r="B68" t="s">
        <v>21</v>
      </c>
      <c r="C68" s="1">
        <v>44434</v>
      </c>
      <c r="D68" s="1">
        <v>44826</v>
      </c>
      <c r="E68">
        <v>244989</v>
      </c>
      <c r="F68">
        <v>119730</v>
      </c>
      <c r="G68">
        <v>125259</v>
      </c>
    </row>
    <row r="69" spans="1:7" x14ac:dyDescent="0.25">
      <c r="A69">
        <v>1062</v>
      </c>
      <c r="B69" t="s">
        <v>21</v>
      </c>
      <c r="C69" s="1">
        <v>44827</v>
      </c>
      <c r="D69" s="1">
        <v>117974</v>
      </c>
      <c r="E69">
        <v>245406</v>
      </c>
      <c r="F69">
        <v>119842</v>
      </c>
      <c r="G69">
        <v>125564</v>
      </c>
    </row>
    <row r="70" spans="1:7" x14ac:dyDescent="0.25">
      <c r="A70">
        <v>2</v>
      </c>
      <c r="B70" t="s">
        <v>22</v>
      </c>
      <c r="C70" s="1">
        <v>43831</v>
      </c>
      <c r="D70" s="1">
        <v>44111</v>
      </c>
      <c r="E70">
        <v>1841179</v>
      </c>
    </row>
    <row r="71" spans="1:7" x14ac:dyDescent="0.25">
      <c r="A71">
        <v>2</v>
      </c>
      <c r="B71" t="s">
        <v>22</v>
      </c>
      <c r="C71" s="1">
        <v>44112</v>
      </c>
      <c r="D71" s="1">
        <v>44433</v>
      </c>
      <c r="E71">
        <v>1847253</v>
      </c>
    </row>
    <row r="72" spans="1:7" x14ac:dyDescent="0.25">
      <c r="A72">
        <v>2</v>
      </c>
      <c r="B72" t="s">
        <v>22</v>
      </c>
      <c r="C72" s="1">
        <v>44434</v>
      </c>
      <c r="D72" s="1">
        <v>44826</v>
      </c>
      <c r="E72">
        <v>1852478</v>
      </c>
      <c r="F72">
        <v>906933</v>
      </c>
      <c r="G72">
        <v>945545</v>
      </c>
    </row>
    <row r="73" spans="1:7" x14ac:dyDescent="0.25">
      <c r="A73">
        <v>2</v>
      </c>
      <c r="B73" t="s">
        <v>22</v>
      </c>
      <c r="C73" s="1">
        <v>44827</v>
      </c>
      <c r="D73" s="1">
        <v>117974</v>
      </c>
      <c r="E73">
        <v>1853935</v>
      </c>
      <c r="F73">
        <v>907682</v>
      </c>
      <c r="G73">
        <v>946253</v>
      </c>
    </row>
    <row r="74" spans="1:7" x14ac:dyDescent="0.25">
      <c r="A74">
        <v>2000</v>
      </c>
      <c r="B74" t="s">
        <v>23</v>
      </c>
      <c r="C74" s="1">
        <v>43831</v>
      </c>
      <c r="D74" s="1">
        <v>44111</v>
      </c>
      <c r="E74">
        <v>1841179</v>
      </c>
    </row>
    <row r="75" spans="1:7" x14ac:dyDescent="0.25">
      <c r="A75">
        <v>2000</v>
      </c>
      <c r="B75" t="s">
        <v>23</v>
      </c>
      <c r="C75" s="1">
        <v>44112</v>
      </c>
      <c r="D75" s="1">
        <v>44433</v>
      </c>
      <c r="E75">
        <v>1847253</v>
      </c>
    </row>
    <row r="76" spans="1:7" x14ac:dyDescent="0.25">
      <c r="A76">
        <v>2000</v>
      </c>
      <c r="B76" t="s">
        <v>23</v>
      </c>
      <c r="C76" s="1">
        <v>44434</v>
      </c>
      <c r="D76" s="1">
        <v>44826</v>
      </c>
      <c r="E76">
        <v>1852478</v>
      </c>
      <c r="F76">
        <v>906933</v>
      </c>
      <c r="G76">
        <v>945545</v>
      </c>
    </row>
    <row r="77" spans="1:7" x14ac:dyDescent="0.25">
      <c r="A77">
        <v>2000</v>
      </c>
      <c r="B77" t="s">
        <v>23</v>
      </c>
      <c r="C77" s="1">
        <v>44827</v>
      </c>
      <c r="D77" s="1">
        <v>117974</v>
      </c>
      <c r="E77">
        <v>1853935</v>
      </c>
      <c r="F77">
        <v>907682</v>
      </c>
      <c r="G77">
        <v>946253</v>
      </c>
    </row>
    <row r="78" spans="1:7" x14ac:dyDescent="0.25">
      <c r="A78">
        <v>3</v>
      </c>
      <c r="B78" t="s">
        <v>24</v>
      </c>
      <c r="C78" s="1">
        <v>43831</v>
      </c>
      <c r="D78" s="1">
        <v>44111</v>
      </c>
      <c r="E78">
        <v>7982448</v>
      </c>
    </row>
    <row r="79" spans="1:7" x14ac:dyDescent="0.25">
      <c r="A79">
        <v>3</v>
      </c>
      <c r="B79" t="s">
        <v>24</v>
      </c>
      <c r="C79" s="1">
        <v>44112</v>
      </c>
      <c r="D79" s="1">
        <v>44433</v>
      </c>
      <c r="E79">
        <v>7993608</v>
      </c>
    </row>
    <row r="80" spans="1:7" x14ac:dyDescent="0.25">
      <c r="A80">
        <v>3</v>
      </c>
      <c r="B80" t="s">
        <v>24</v>
      </c>
      <c r="C80" s="1">
        <v>44434</v>
      </c>
      <c r="D80" s="1">
        <v>44826</v>
      </c>
      <c r="E80">
        <v>8003421</v>
      </c>
      <c r="F80">
        <v>3951456</v>
      </c>
      <c r="G80">
        <v>4051965</v>
      </c>
    </row>
    <row r="81" spans="1:7" x14ac:dyDescent="0.25">
      <c r="A81">
        <v>3</v>
      </c>
      <c r="B81" t="s">
        <v>24</v>
      </c>
      <c r="C81" s="1">
        <v>44827</v>
      </c>
      <c r="D81" s="1">
        <v>117974</v>
      </c>
      <c r="E81">
        <v>8027031</v>
      </c>
      <c r="F81">
        <v>3962947</v>
      </c>
      <c r="G81">
        <v>4064084</v>
      </c>
    </row>
    <row r="82" spans="1:7" x14ac:dyDescent="0.25">
      <c r="A82">
        <v>3101</v>
      </c>
      <c r="B82" t="s">
        <v>25</v>
      </c>
      <c r="C82" s="1">
        <v>43831</v>
      </c>
      <c r="D82" s="1">
        <v>44111</v>
      </c>
      <c r="E82">
        <v>248292</v>
      </c>
    </row>
    <row r="83" spans="1:7" x14ac:dyDescent="0.25">
      <c r="A83">
        <v>3101</v>
      </c>
      <c r="B83" t="s">
        <v>25</v>
      </c>
      <c r="C83" s="1">
        <v>44112</v>
      </c>
      <c r="D83" s="1">
        <v>44433</v>
      </c>
      <c r="E83">
        <v>249406</v>
      </c>
    </row>
    <row r="84" spans="1:7" x14ac:dyDescent="0.25">
      <c r="A84">
        <v>3101</v>
      </c>
      <c r="B84" t="s">
        <v>25</v>
      </c>
      <c r="C84" s="1">
        <v>44434</v>
      </c>
      <c r="D84" s="1">
        <v>44826</v>
      </c>
      <c r="E84">
        <v>248561</v>
      </c>
      <c r="F84">
        <v>123229</v>
      </c>
      <c r="G84">
        <v>125332</v>
      </c>
    </row>
    <row r="85" spans="1:7" x14ac:dyDescent="0.25">
      <c r="A85">
        <v>3101</v>
      </c>
      <c r="B85" t="s">
        <v>25</v>
      </c>
      <c r="C85" s="1">
        <v>44827</v>
      </c>
      <c r="D85" s="1">
        <v>117974</v>
      </c>
      <c r="E85">
        <v>248823</v>
      </c>
      <c r="F85">
        <v>123441</v>
      </c>
      <c r="G85">
        <v>125382</v>
      </c>
    </row>
    <row r="86" spans="1:7" x14ac:dyDescent="0.25">
      <c r="A86">
        <v>3102</v>
      </c>
      <c r="B86" t="s">
        <v>26</v>
      </c>
      <c r="C86" s="1">
        <v>43831</v>
      </c>
      <c r="D86" s="1">
        <v>44111</v>
      </c>
      <c r="E86">
        <v>104948</v>
      </c>
    </row>
    <row r="87" spans="1:7" x14ac:dyDescent="0.25">
      <c r="A87">
        <v>3102</v>
      </c>
      <c r="B87" t="s">
        <v>26</v>
      </c>
      <c r="C87" s="1">
        <v>44112</v>
      </c>
      <c r="D87" s="1">
        <v>44433</v>
      </c>
      <c r="E87">
        <v>104291</v>
      </c>
    </row>
    <row r="88" spans="1:7" x14ac:dyDescent="0.25">
      <c r="A88">
        <v>3102</v>
      </c>
      <c r="B88" t="s">
        <v>26</v>
      </c>
      <c r="C88" s="1">
        <v>44434</v>
      </c>
      <c r="D88" s="1">
        <v>44826</v>
      </c>
      <c r="E88">
        <v>103866</v>
      </c>
      <c r="F88">
        <v>51606</v>
      </c>
      <c r="G88">
        <v>52260</v>
      </c>
    </row>
    <row r="89" spans="1:7" x14ac:dyDescent="0.25">
      <c r="A89">
        <v>3102</v>
      </c>
      <c r="B89" t="s">
        <v>26</v>
      </c>
      <c r="C89" s="1">
        <v>44827</v>
      </c>
      <c r="D89" s="1">
        <v>117974</v>
      </c>
      <c r="E89">
        <v>103694</v>
      </c>
      <c r="F89">
        <v>51539</v>
      </c>
      <c r="G89">
        <v>52155</v>
      </c>
    </row>
    <row r="90" spans="1:7" x14ac:dyDescent="0.25">
      <c r="A90">
        <v>3103</v>
      </c>
      <c r="B90" t="s">
        <v>27</v>
      </c>
      <c r="C90" s="1">
        <v>43831</v>
      </c>
      <c r="D90" s="1">
        <v>44111</v>
      </c>
      <c r="E90">
        <v>124151</v>
      </c>
    </row>
    <row r="91" spans="1:7" x14ac:dyDescent="0.25">
      <c r="A91">
        <v>3103</v>
      </c>
      <c r="B91" t="s">
        <v>27</v>
      </c>
      <c r="C91" s="1">
        <v>44112</v>
      </c>
      <c r="D91" s="1">
        <v>44433</v>
      </c>
      <c r="E91">
        <v>124371</v>
      </c>
    </row>
    <row r="92" spans="1:7" x14ac:dyDescent="0.25">
      <c r="A92">
        <v>3103</v>
      </c>
      <c r="B92" t="s">
        <v>27</v>
      </c>
      <c r="C92" s="1">
        <v>44434</v>
      </c>
      <c r="D92" s="1">
        <v>44826</v>
      </c>
      <c r="E92">
        <v>123840</v>
      </c>
      <c r="F92">
        <v>61654</v>
      </c>
      <c r="G92">
        <v>62186</v>
      </c>
    </row>
    <row r="93" spans="1:7" x14ac:dyDescent="0.25">
      <c r="A93">
        <v>3103</v>
      </c>
      <c r="B93" t="s">
        <v>27</v>
      </c>
      <c r="C93" s="1">
        <v>44827</v>
      </c>
      <c r="D93" s="1">
        <v>117974</v>
      </c>
      <c r="E93">
        <v>123949</v>
      </c>
      <c r="F93">
        <v>61765</v>
      </c>
      <c r="G93">
        <v>62184</v>
      </c>
    </row>
    <row r="94" spans="1:7" x14ac:dyDescent="0.25">
      <c r="A94">
        <v>3151</v>
      </c>
      <c r="B94" t="s">
        <v>28</v>
      </c>
      <c r="C94" s="1">
        <v>43831</v>
      </c>
      <c r="D94" s="1">
        <v>44111</v>
      </c>
      <c r="E94">
        <v>175920</v>
      </c>
    </row>
    <row r="95" spans="1:7" x14ac:dyDescent="0.25">
      <c r="A95">
        <v>3151</v>
      </c>
      <c r="B95" t="s">
        <v>28</v>
      </c>
      <c r="C95" s="1">
        <v>44112</v>
      </c>
      <c r="D95" s="1">
        <v>44433</v>
      </c>
      <c r="E95">
        <v>176523</v>
      </c>
    </row>
    <row r="96" spans="1:7" x14ac:dyDescent="0.25">
      <c r="A96">
        <v>3151</v>
      </c>
      <c r="B96" t="s">
        <v>28</v>
      </c>
      <c r="C96" s="1">
        <v>44434</v>
      </c>
      <c r="D96" s="1">
        <v>44826</v>
      </c>
      <c r="E96">
        <v>177227</v>
      </c>
      <c r="F96">
        <v>88590</v>
      </c>
      <c r="G96">
        <v>88637</v>
      </c>
    </row>
    <row r="97" spans="1:7" x14ac:dyDescent="0.25">
      <c r="A97">
        <v>3151</v>
      </c>
      <c r="B97" t="s">
        <v>28</v>
      </c>
      <c r="C97" s="1">
        <v>44827</v>
      </c>
      <c r="D97" s="1">
        <v>117974</v>
      </c>
      <c r="E97">
        <v>177919</v>
      </c>
      <c r="F97">
        <v>88884</v>
      </c>
      <c r="G97">
        <v>89035</v>
      </c>
    </row>
    <row r="98" spans="1:7" x14ac:dyDescent="0.25">
      <c r="A98">
        <v>3153</v>
      </c>
      <c r="B98" t="s">
        <v>29</v>
      </c>
      <c r="C98" s="1">
        <v>43831</v>
      </c>
      <c r="D98" s="1">
        <v>44111</v>
      </c>
      <c r="E98">
        <v>137014</v>
      </c>
    </row>
    <row r="99" spans="1:7" x14ac:dyDescent="0.25">
      <c r="A99">
        <v>3153</v>
      </c>
      <c r="B99" t="s">
        <v>29</v>
      </c>
      <c r="C99" s="1">
        <v>44112</v>
      </c>
      <c r="D99" s="1">
        <v>44433</v>
      </c>
      <c r="E99">
        <v>136292</v>
      </c>
    </row>
    <row r="100" spans="1:7" x14ac:dyDescent="0.25">
      <c r="A100">
        <v>3153</v>
      </c>
      <c r="B100" t="s">
        <v>29</v>
      </c>
      <c r="C100" s="1">
        <v>44434</v>
      </c>
      <c r="D100" s="1">
        <v>44826</v>
      </c>
      <c r="E100">
        <v>134688</v>
      </c>
      <c r="F100">
        <v>66826</v>
      </c>
      <c r="G100">
        <v>67862</v>
      </c>
    </row>
    <row r="101" spans="1:7" x14ac:dyDescent="0.25">
      <c r="A101">
        <v>3153</v>
      </c>
      <c r="B101" t="s">
        <v>29</v>
      </c>
      <c r="C101" s="1">
        <v>44827</v>
      </c>
      <c r="D101" s="1">
        <v>117974</v>
      </c>
      <c r="E101">
        <v>134050</v>
      </c>
      <c r="F101">
        <v>66486</v>
      </c>
      <c r="G101">
        <v>67564</v>
      </c>
    </row>
    <row r="102" spans="1:7" x14ac:dyDescent="0.25">
      <c r="A102">
        <v>3154</v>
      </c>
      <c r="B102" t="s">
        <v>30</v>
      </c>
      <c r="C102" s="1">
        <v>43831</v>
      </c>
      <c r="D102" s="1">
        <v>44111</v>
      </c>
      <c r="E102">
        <v>91307</v>
      </c>
    </row>
    <row r="103" spans="1:7" x14ac:dyDescent="0.25">
      <c r="A103">
        <v>3154</v>
      </c>
      <c r="B103" t="s">
        <v>30</v>
      </c>
      <c r="C103" s="1">
        <v>44112</v>
      </c>
      <c r="D103" s="1">
        <v>44433</v>
      </c>
      <c r="E103">
        <v>91297</v>
      </c>
    </row>
    <row r="104" spans="1:7" x14ac:dyDescent="0.25">
      <c r="A104">
        <v>3154</v>
      </c>
      <c r="B104" t="s">
        <v>30</v>
      </c>
      <c r="C104" s="1">
        <v>44434</v>
      </c>
      <c r="D104" s="1">
        <v>44826</v>
      </c>
      <c r="E104">
        <v>91518</v>
      </c>
      <c r="F104">
        <v>45394</v>
      </c>
      <c r="G104">
        <v>46124</v>
      </c>
    </row>
    <row r="105" spans="1:7" x14ac:dyDescent="0.25">
      <c r="A105">
        <v>3154</v>
      </c>
      <c r="B105" t="s">
        <v>30</v>
      </c>
      <c r="C105" s="1">
        <v>44827</v>
      </c>
      <c r="D105" s="1">
        <v>117974</v>
      </c>
      <c r="E105">
        <v>91379</v>
      </c>
      <c r="F105">
        <v>45304</v>
      </c>
      <c r="G105">
        <v>46075</v>
      </c>
    </row>
    <row r="106" spans="1:7" x14ac:dyDescent="0.25">
      <c r="A106">
        <v>3155</v>
      </c>
      <c r="B106" t="s">
        <v>31</v>
      </c>
      <c r="C106" s="1">
        <v>43831</v>
      </c>
      <c r="D106" s="1">
        <v>44111</v>
      </c>
      <c r="E106">
        <v>132765</v>
      </c>
    </row>
    <row r="107" spans="1:7" x14ac:dyDescent="0.25">
      <c r="A107">
        <v>3155</v>
      </c>
      <c r="B107" t="s">
        <v>31</v>
      </c>
      <c r="C107" s="1">
        <v>44112</v>
      </c>
      <c r="D107" s="1">
        <v>44433</v>
      </c>
      <c r="E107">
        <v>132285</v>
      </c>
    </row>
    <row r="108" spans="1:7" x14ac:dyDescent="0.25">
      <c r="A108">
        <v>3155</v>
      </c>
      <c r="B108" t="s">
        <v>31</v>
      </c>
      <c r="C108" s="1">
        <v>44434</v>
      </c>
      <c r="D108" s="1">
        <v>44826</v>
      </c>
      <c r="E108">
        <v>131772</v>
      </c>
      <c r="F108">
        <v>64988</v>
      </c>
      <c r="G108">
        <v>66784</v>
      </c>
    </row>
    <row r="109" spans="1:7" x14ac:dyDescent="0.25">
      <c r="A109">
        <v>3155</v>
      </c>
      <c r="B109" t="s">
        <v>31</v>
      </c>
      <c r="C109" s="1">
        <v>44827</v>
      </c>
      <c r="D109" s="1">
        <v>117974</v>
      </c>
      <c r="E109">
        <v>131765</v>
      </c>
      <c r="F109">
        <v>64911</v>
      </c>
      <c r="G109">
        <v>66854</v>
      </c>
    </row>
    <row r="110" spans="1:7" x14ac:dyDescent="0.25">
      <c r="A110">
        <v>3157</v>
      </c>
      <c r="B110" t="s">
        <v>32</v>
      </c>
      <c r="C110" s="1">
        <v>43831</v>
      </c>
      <c r="D110" s="1">
        <v>44111</v>
      </c>
      <c r="E110">
        <v>133965</v>
      </c>
    </row>
    <row r="111" spans="1:7" x14ac:dyDescent="0.25">
      <c r="A111">
        <v>3157</v>
      </c>
      <c r="B111" t="s">
        <v>32</v>
      </c>
      <c r="C111" s="1">
        <v>44112</v>
      </c>
      <c r="D111" s="1">
        <v>44433</v>
      </c>
      <c r="E111">
        <v>134801</v>
      </c>
    </row>
    <row r="112" spans="1:7" x14ac:dyDescent="0.25">
      <c r="A112">
        <v>3157</v>
      </c>
      <c r="B112" t="s">
        <v>32</v>
      </c>
      <c r="C112" s="1">
        <v>44434</v>
      </c>
      <c r="D112" s="1">
        <v>44826</v>
      </c>
      <c r="E112">
        <v>135844</v>
      </c>
      <c r="F112">
        <v>67280</v>
      </c>
      <c r="G112">
        <v>68564</v>
      </c>
    </row>
    <row r="113" spans="1:7" x14ac:dyDescent="0.25">
      <c r="A113">
        <v>3157</v>
      </c>
      <c r="B113" t="s">
        <v>32</v>
      </c>
      <c r="C113" s="1">
        <v>44827</v>
      </c>
      <c r="D113" s="1">
        <v>117974</v>
      </c>
      <c r="E113">
        <v>136960</v>
      </c>
      <c r="F113">
        <v>67861</v>
      </c>
      <c r="G113">
        <v>69099</v>
      </c>
    </row>
    <row r="114" spans="1:7" x14ac:dyDescent="0.25">
      <c r="A114">
        <v>3158</v>
      </c>
      <c r="B114" t="s">
        <v>33</v>
      </c>
      <c r="C114" s="1">
        <v>43831</v>
      </c>
      <c r="D114" s="1">
        <v>44111</v>
      </c>
      <c r="E114">
        <v>119960</v>
      </c>
    </row>
    <row r="115" spans="1:7" x14ac:dyDescent="0.25">
      <c r="A115">
        <v>3158</v>
      </c>
      <c r="B115" t="s">
        <v>33</v>
      </c>
      <c r="C115" s="1">
        <v>44112</v>
      </c>
      <c r="D115" s="1">
        <v>44433</v>
      </c>
      <c r="E115">
        <v>119622</v>
      </c>
    </row>
    <row r="116" spans="1:7" x14ac:dyDescent="0.25">
      <c r="A116">
        <v>3158</v>
      </c>
      <c r="B116" t="s">
        <v>33</v>
      </c>
      <c r="C116" s="1">
        <v>44434</v>
      </c>
      <c r="D116" s="1">
        <v>44826</v>
      </c>
      <c r="E116">
        <v>119361</v>
      </c>
      <c r="F116">
        <v>59102</v>
      </c>
      <c r="G116">
        <v>60259</v>
      </c>
    </row>
    <row r="117" spans="1:7" x14ac:dyDescent="0.25">
      <c r="A117">
        <v>3158</v>
      </c>
      <c r="B117" t="s">
        <v>33</v>
      </c>
      <c r="C117" s="1">
        <v>44827</v>
      </c>
      <c r="D117" s="1">
        <v>117974</v>
      </c>
      <c r="E117">
        <v>119224</v>
      </c>
      <c r="F117">
        <v>59013</v>
      </c>
      <c r="G117">
        <v>60211</v>
      </c>
    </row>
    <row r="118" spans="1:7" x14ac:dyDescent="0.25">
      <c r="A118">
        <v>3159</v>
      </c>
      <c r="B118" t="s">
        <v>34</v>
      </c>
      <c r="C118" s="1">
        <v>43831</v>
      </c>
      <c r="D118" s="1">
        <v>44111</v>
      </c>
      <c r="E118">
        <v>328074</v>
      </c>
    </row>
    <row r="119" spans="1:7" x14ac:dyDescent="0.25">
      <c r="A119">
        <v>3159</v>
      </c>
      <c r="B119" t="s">
        <v>34</v>
      </c>
      <c r="C119" s="1">
        <v>44112</v>
      </c>
      <c r="D119" s="1">
        <v>44433</v>
      </c>
      <c r="E119">
        <v>326041</v>
      </c>
    </row>
    <row r="120" spans="1:7" x14ac:dyDescent="0.25">
      <c r="A120">
        <v>3159</v>
      </c>
      <c r="B120" t="s">
        <v>34</v>
      </c>
      <c r="C120" s="1">
        <v>44434</v>
      </c>
      <c r="D120" s="1">
        <v>44826</v>
      </c>
      <c r="E120">
        <v>323900</v>
      </c>
      <c r="F120">
        <v>158991</v>
      </c>
      <c r="G120">
        <v>164909</v>
      </c>
    </row>
    <row r="121" spans="1:7" x14ac:dyDescent="0.25">
      <c r="A121">
        <v>3159</v>
      </c>
      <c r="B121" t="s">
        <v>34</v>
      </c>
      <c r="C121" s="1">
        <v>44827</v>
      </c>
      <c r="D121" s="1">
        <v>117974</v>
      </c>
      <c r="E121">
        <v>323661</v>
      </c>
      <c r="F121">
        <v>158925</v>
      </c>
      <c r="G121">
        <v>164736</v>
      </c>
    </row>
    <row r="122" spans="1:7" x14ac:dyDescent="0.25">
      <c r="A122">
        <v>3241</v>
      </c>
      <c r="B122" t="s">
        <v>35</v>
      </c>
      <c r="C122" s="1">
        <v>43831</v>
      </c>
      <c r="D122" s="1">
        <v>44111</v>
      </c>
      <c r="E122">
        <v>1157624</v>
      </c>
    </row>
    <row r="123" spans="1:7" x14ac:dyDescent="0.25">
      <c r="A123">
        <v>3241</v>
      </c>
      <c r="B123" t="s">
        <v>35</v>
      </c>
      <c r="C123" s="1">
        <v>44112</v>
      </c>
      <c r="D123" s="1">
        <v>44433</v>
      </c>
      <c r="E123">
        <v>1157115</v>
      </c>
    </row>
    <row r="124" spans="1:7" x14ac:dyDescent="0.25">
      <c r="A124">
        <v>3241</v>
      </c>
      <c r="B124" t="s">
        <v>35</v>
      </c>
      <c r="C124" s="1">
        <v>44434</v>
      </c>
      <c r="D124" s="1">
        <v>44826</v>
      </c>
      <c r="E124">
        <v>1155330</v>
      </c>
      <c r="F124">
        <v>565498</v>
      </c>
      <c r="G124">
        <v>589832</v>
      </c>
    </row>
    <row r="125" spans="1:7" x14ac:dyDescent="0.25">
      <c r="A125">
        <v>3241</v>
      </c>
      <c r="B125" t="s">
        <v>35</v>
      </c>
      <c r="C125" s="1">
        <v>44827</v>
      </c>
      <c r="D125" s="1">
        <v>117974</v>
      </c>
      <c r="E125">
        <v>1157541</v>
      </c>
      <c r="F125">
        <v>566956</v>
      </c>
      <c r="G125">
        <v>590585</v>
      </c>
    </row>
    <row r="126" spans="1:7" x14ac:dyDescent="0.25">
      <c r="A126">
        <v>3251</v>
      </c>
      <c r="B126" t="s">
        <v>36</v>
      </c>
      <c r="C126" s="1">
        <v>43831</v>
      </c>
      <c r="D126" s="1">
        <v>44111</v>
      </c>
      <c r="E126">
        <v>216886</v>
      </c>
    </row>
    <row r="127" spans="1:7" x14ac:dyDescent="0.25">
      <c r="A127">
        <v>3251</v>
      </c>
      <c r="B127" t="s">
        <v>36</v>
      </c>
      <c r="C127" s="1">
        <v>44112</v>
      </c>
      <c r="D127" s="1">
        <v>44433</v>
      </c>
      <c r="E127">
        <v>217089</v>
      </c>
    </row>
    <row r="128" spans="1:7" x14ac:dyDescent="0.25">
      <c r="A128">
        <v>3251</v>
      </c>
      <c r="B128" t="s">
        <v>36</v>
      </c>
      <c r="C128" s="1">
        <v>44434</v>
      </c>
      <c r="D128" s="1">
        <v>44826</v>
      </c>
      <c r="E128">
        <v>218072</v>
      </c>
      <c r="F128">
        <v>108453</v>
      </c>
      <c r="G128">
        <v>109619</v>
      </c>
    </row>
    <row r="129" spans="1:7" x14ac:dyDescent="0.25">
      <c r="A129">
        <v>3251</v>
      </c>
      <c r="B129" t="s">
        <v>36</v>
      </c>
      <c r="C129" s="1">
        <v>44827</v>
      </c>
      <c r="D129" s="1">
        <v>117974</v>
      </c>
      <c r="E129">
        <v>218839</v>
      </c>
      <c r="F129">
        <v>108750</v>
      </c>
      <c r="G129">
        <v>110089</v>
      </c>
    </row>
    <row r="130" spans="1:7" x14ac:dyDescent="0.25">
      <c r="A130">
        <v>3252</v>
      </c>
      <c r="B130" t="s">
        <v>37</v>
      </c>
      <c r="C130" s="1">
        <v>43831</v>
      </c>
      <c r="D130" s="1">
        <v>44111</v>
      </c>
      <c r="E130">
        <v>148559</v>
      </c>
    </row>
    <row r="131" spans="1:7" x14ac:dyDescent="0.25">
      <c r="A131">
        <v>3252</v>
      </c>
      <c r="B131" t="s">
        <v>37</v>
      </c>
      <c r="C131" s="1">
        <v>44112</v>
      </c>
      <c r="D131" s="1">
        <v>44433</v>
      </c>
      <c r="E131">
        <v>148549</v>
      </c>
    </row>
    <row r="132" spans="1:7" x14ac:dyDescent="0.25">
      <c r="A132">
        <v>3252</v>
      </c>
      <c r="B132" t="s">
        <v>37</v>
      </c>
      <c r="C132" s="1">
        <v>44434</v>
      </c>
      <c r="D132" s="1">
        <v>44826</v>
      </c>
      <c r="E132">
        <v>148580</v>
      </c>
      <c r="F132">
        <v>71881</v>
      </c>
      <c r="G132">
        <v>76699</v>
      </c>
    </row>
    <row r="133" spans="1:7" x14ac:dyDescent="0.25">
      <c r="A133">
        <v>3252</v>
      </c>
      <c r="B133" t="s">
        <v>37</v>
      </c>
      <c r="C133" s="1">
        <v>44827</v>
      </c>
      <c r="D133" s="1">
        <v>117974</v>
      </c>
      <c r="E133">
        <v>148963</v>
      </c>
      <c r="F133">
        <v>72157</v>
      </c>
      <c r="G133">
        <v>76806</v>
      </c>
    </row>
    <row r="134" spans="1:7" x14ac:dyDescent="0.25">
      <c r="A134">
        <v>3254</v>
      </c>
      <c r="B134" t="s">
        <v>38</v>
      </c>
      <c r="C134" s="1">
        <v>43831</v>
      </c>
      <c r="D134" s="1">
        <v>44111</v>
      </c>
      <c r="E134">
        <v>276594</v>
      </c>
    </row>
    <row r="135" spans="1:7" x14ac:dyDescent="0.25">
      <c r="A135">
        <v>3254</v>
      </c>
      <c r="B135" t="s">
        <v>38</v>
      </c>
      <c r="C135" s="1">
        <v>44112</v>
      </c>
      <c r="D135" s="1">
        <v>44433</v>
      </c>
      <c r="E135">
        <v>275817</v>
      </c>
    </row>
    <row r="136" spans="1:7" x14ac:dyDescent="0.25">
      <c r="A136">
        <v>3254</v>
      </c>
      <c r="B136" t="s">
        <v>38</v>
      </c>
      <c r="C136" s="1">
        <v>44434</v>
      </c>
      <c r="D136" s="1">
        <v>44826</v>
      </c>
      <c r="E136">
        <v>275464</v>
      </c>
      <c r="F136">
        <v>134529</v>
      </c>
      <c r="G136">
        <v>140935</v>
      </c>
    </row>
    <row r="137" spans="1:7" x14ac:dyDescent="0.25">
      <c r="A137">
        <v>3254</v>
      </c>
      <c r="B137" t="s">
        <v>38</v>
      </c>
      <c r="C137" s="1">
        <v>44827</v>
      </c>
      <c r="D137" s="1">
        <v>117974</v>
      </c>
      <c r="E137">
        <v>274773</v>
      </c>
      <c r="F137">
        <v>134208</v>
      </c>
      <c r="G137">
        <v>140565</v>
      </c>
    </row>
    <row r="138" spans="1:7" x14ac:dyDescent="0.25">
      <c r="A138">
        <v>3255</v>
      </c>
      <c r="B138" t="s">
        <v>39</v>
      </c>
      <c r="C138" s="1">
        <v>43831</v>
      </c>
      <c r="D138" s="1">
        <v>44111</v>
      </c>
      <c r="E138">
        <v>70975</v>
      </c>
    </row>
    <row r="139" spans="1:7" x14ac:dyDescent="0.25">
      <c r="A139">
        <v>3255</v>
      </c>
      <c r="B139" t="s">
        <v>39</v>
      </c>
      <c r="C139" s="1">
        <v>44112</v>
      </c>
      <c r="D139" s="1">
        <v>44433</v>
      </c>
      <c r="E139">
        <v>70458</v>
      </c>
    </row>
    <row r="140" spans="1:7" x14ac:dyDescent="0.25">
      <c r="A140">
        <v>3255</v>
      </c>
      <c r="B140" t="s">
        <v>39</v>
      </c>
      <c r="C140" s="1">
        <v>44434</v>
      </c>
      <c r="D140" s="1">
        <v>44826</v>
      </c>
      <c r="E140">
        <v>70207</v>
      </c>
      <c r="F140">
        <v>34811</v>
      </c>
      <c r="G140">
        <v>35396</v>
      </c>
    </row>
    <row r="141" spans="1:7" x14ac:dyDescent="0.25">
      <c r="A141">
        <v>3255</v>
      </c>
      <c r="B141" t="s">
        <v>39</v>
      </c>
      <c r="C141" s="1">
        <v>44827</v>
      </c>
      <c r="D141" s="1">
        <v>117974</v>
      </c>
      <c r="E141">
        <v>69862</v>
      </c>
      <c r="F141">
        <v>34701</v>
      </c>
      <c r="G141">
        <v>35161</v>
      </c>
    </row>
    <row r="142" spans="1:7" x14ac:dyDescent="0.25">
      <c r="A142">
        <v>3256</v>
      </c>
      <c r="B142" t="s">
        <v>40</v>
      </c>
      <c r="C142" s="1">
        <v>43831</v>
      </c>
      <c r="D142" s="1">
        <v>44111</v>
      </c>
      <c r="E142">
        <v>121386</v>
      </c>
    </row>
    <row r="143" spans="1:7" x14ac:dyDescent="0.25">
      <c r="A143">
        <v>3256</v>
      </c>
      <c r="B143" t="s">
        <v>40</v>
      </c>
      <c r="C143" s="1">
        <v>44112</v>
      </c>
      <c r="D143" s="1">
        <v>44433</v>
      </c>
      <c r="E143">
        <v>121390</v>
      </c>
    </row>
    <row r="144" spans="1:7" x14ac:dyDescent="0.25">
      <c r="A144">
        <v>3256</v>
      </c>
      <c r="B144" t="s">
        <v>40</v>
      </c>
      <c r="C144" s="1">
        <v>44434</v>
      </c>
      <c r="D144" s="1">
        <v>44826</v>
      </c>
      <c r="E144">
        <v>121645</v>
      </c>
      <c r="F144">
        <v>60325</v>
      </c>
      <c r="G144">
        <v>61320</v>
      </c>
    </row>
    <row r="145" spans="1:7" x14ac:dyDescent="0.25">
      <c r="A145">
        <v>3256</v>
      </c>
      <c r="B145" t="s">
        <v>40</v>
      </c>
      <c r="C145" s="1">
        <v>44827</v>
      </c>
      <c r="D145" s="1">
        <v>117974</v>
      </c>
      <c r="E145">
        <v>121773</v>
      </c>
      <c r="F145">
        <v>60359</v>
      </c>
      <c r="G145">
        <v>61414</v>
      </c>
    </row>
    <row r="146" spans="1:7" x14ac:dyDescent="0.25">
      <c r="A146">
        <v>3257</v>
      </c>
      <c r="B146" t="s">
        <v>41</v>
      </c>
      <c r="C146" s="1">
        <v>43831</v>
      </c>
      <c r="D146" s="1">
        <v>44111</v>
      </c>
      <c r="E146">
        <v>157781</v>
      </c>
    </row>
    <row r="147" spans="1:7" x14ac:dyDescent="0.25">
      <c r="A147">
        <v>3257</v>
      </c>
      <c r="B147" t="s">
        <v>41</v>
      </c>
      <c r="C147" s="1">
        <v>44112</v>
      </c>
      <c r="D147" s="1">
        <v>44433</v>
      </c>
      <c r="E147">
        <v>157820</v>
      </c>
    </row>
    <row r="148" spans="1:7" x14ac:dyDescent="0.25">
      <c r="A148">
        <v>3257</v>
      </c>
      <c r="B148" t="s">
        <v>41</v>
      </c>
      <c r="C148" s="1">
        <v>44434</v>
      </c>
      <c r="D148" s="1">
        <v>44826</v>
      </c>
      <c r="E148">
        <v>158406</v>
      </c>
      <c r="F148">
        <v>77748</v>
      </c>
      <c r="G148">
        <v>80658</v>
      </c>
    </row>
    <row r="149" spans="1:7" x14ac:dyDescent="0.25">
      <c r="A149">
        <v>3257</v>
      </c>
      <c r="B149" t="s">
        <v>41</v>
      </c>
      <c r="C149" s="1">
        <v>44827</v>
      </c>
      <c r="D149" s="1">
        <v>117974</v>
      </c>
      <c r="E149">
        <v>158108</v>
      </c>
      <c r="F149">
        <v>77495</v>
      </c>
      <c r="G149">
        <v>80613</v>
      </c>
    </row>
    <row r="150" spans="1:7" x14ac:dyDescent="0.25">
      <c r="A150">
        <v>3351</v>
      </c>
      <c r="B150" t="s">
        <v>42</v>
      </c>
      <c r="C150" s="1">
        <v>43831</v>
      </c>
      <c r="D150" s="1">
        <v>44111</v>
      </c>
      <c r="E150">
        <v>178936</v>
      </c>
    </row>
    <row r="151" spans="1:7" x14ac:dyDescent="0.25">
      <c r="A151">
        <v>3351</v>
      </c>
      <c r="B151" t="s">
        <v>42</v>
      </c>
      <c r="C151" s="1">
        <v>44112</v>
      </c>
      <c r="D151" s="1">
        <v>44433</v>
      </c>
      <c r="E151">
        <v>179011</v>
      </c>
    </row>
    <row r="152" spans="1:7" x14ac:dyDescent="0.25">
      <c r="A152">
        <v>3351</v>
      </c>
      <c r="B152" t="s">
        <v>42</v>
      </c>
      <c r="C152" s="1">
        <v>44434</v>
      </c>
      <c r="D152" s="1">
        <v>44826</v>
      </c>
      <c r="E152">
        <v>179386</v>
      </c>
      <c r="F152">
        <v>88220</v>
      </c>
      <c r="G152">
        <v>91166</v>
      </c>
    </row>
    <row r="153" spans="1:7" x14ac:dyDescent="0.25">
      <c r="A153">
        <v>3351</v>
      </c>
      <c r="B153" t="s">
        <v>42</v>
      </c>
      <c r="C153" s="1">
        <v>44827</v>
      </c>
      <c r="D153" s="1">
        <v>117974</v>
      </c>
      <c r="E153">
        <v>179915</v>
      </c>
      <c r="F153">
        <v>88410</v>
      </c>
      <c r="G153">
        <v>91505</v>
      </c>
    </row>
    <row r="154" spans="1:7" x14ac:dyDescent="0.25">
      <c r="A154">
        <v>3352</v>
      </c>
      <c r="B154" t="s">
        <v>43</v>
      </c>
      <c r="C154" s="1">
        <v>43831</v>
      </c>
      <c r="D154" s="1">
        <v>44111</v>
      </c>
      <c r="E154">
        <v>198213</v>
      </c>
    </row>
    <row r="155" spans="1:7" x14ac:dyDescent="0.25">
      <c r="A155">
        <v>3352</v>
      </c>
      <c r="B155" t="s">
        <v>43</v>
      </c>
      <c r="C155" s="1">
        <v>44112</v>
      </c>
      <c r="D155" s="1">
        <v>44433</v>
      </c>
      <c r="E155">
        <v>198038</v>
      </c>
    </row>
    <row r="156" spans="1:7" x14ac:dyDescent="0.25">
      <c r="A156">
        <v>3352</v>
      </c>
      <c r="B156" t="s">
        <v>43</v>
      </c>
      <c r="C156" s="1">
        <v>44434</v>
      </c>
      <c r="D156" s="1">
        <v>44826</v>
      </c>
      <c r="E156">
        <v>198826</v>
      </c>
      <c r="F156">
        <v>97159</v>
      </c>
      <c r="G156">
        <v>101667</v>
      </c>
    </row>
    <row r="157" spans="1:7" x14ac:dyDescent="0.25">
      <c r="A157">
        <v>3352</v>
      </c>
      <c r="B157" t="s">
        <v>43</v>
      </c>
      <c r="C157" s="1">
        <v>44827</v>
      </c>
      <c r="D157" s="1">
        <v>117974</v>
      </c>
      <c r="E157">
        <v>199603</v>
      </c>
      <c r="F157">
        <v>97551</v>
      </c>
      <c r="G157">
        <v>102052</v>
      </c>
    </row>
    <row r="158" spans="1:7" x14ac:dyDescent="0.25">
      <c r="A158">
        <v>3353</v>
      </c>
      <c r="B158" t="s">
        <v>44</v>
      </c>
      <c r="C158" s="1">
        <v>43831</v>
      </c>
      <c r="D158" s="1">
        <v>44111</v>
      </c>
      <c r="E158">
        <v>252776</v>
      </c>
    </row>
    <row r="159" spans="1:7" x14ac:dyDescent="0.25">
      <c r="A159">
        <v>3353</v>
      </c>
      <c r="B159" t="s">
        <v>44</v>
      </c>
      <c r="C159" s="1">
        <v>44112</v>
      </c>
      <c r="D159" s="1">
        <v>44433</v>
      </c>
      <c r="E159">
        <v>254431</v>
      </c>
    </row>
    <row r="160" spans="1:7" x14ac:dyDescent="0.25">
      <c r="A160">
        <v>3353</v>
      </c>
      <c r="B160" t="s">
        <v>44</v>
      </c>
      <c r="C160" s="1">
        <v>44434</v>
      </c>
      <c r="D160" s="1">
        <v>44826</v>
      </c>
      <c r="E160">
        <v>256016</v>
      </c>
      <c r="F160">
        <v>125995</v>
      </c>
      <c r="G160">
        <v>130021</v>
      </c>
    </row>
    <row r="161" spans="1:7" x14ac:dyDescent="0.25">
      <c r="A161">
        <v>3353</v>
      </c>
      <c r="B161" t="s">
        <v>44</v>
      </c>
      <c r="C161" s="1">
        <v>44827</v>
      </c>
      <c r="D161" s="1">
        <v>117974</v>
      </c>
      <c r="E161">
        <v>257548</v>
      </c>
      <c r="F161">
        <v>126845</v>
      </c>
      <c r="G161">
        <v>130703</v>
      </c>
    </row>
    <row r="162" spans="1:7" x14ac:dyDescent="0.25">
      <c r="A162">
        <v>3354</v>
      </c>
      <c r="B162" t="s">
        <v>45</v>
      </c>
      <c r="C162" s="1">
        <v>43831</v>
      </c>
      <c r="D162" s="1">
        <v>44111</v>
      </c>
      <c r="E162">
        <v>48424</v>
      </c>
    </row>
    <row r="163" spans="1:7" x14ac:dyDescent="0.25">
      <c r="A163">
        <v>3354</v>
      </c>
      <c r="B163" t="s">
        <v>45</v>
      </c>
      <c r="C163" s="1">
        <v>44112</v>
      </c>
      <c r="D163" s="1">
        <v>44433</v>
      </c>
      <c r="E163">
        <v>48412</v>
      </c>
    </row>
    <row r="164" spans="1:7" x14ac:dyDescent="0.25">
      <c r="A164">
        <v>3354</v>
      </c>
      <c r="B164" t="s">
        <v>45</v>
      </c>
      <c r="C164" s="1">
        <v>44434</v>
      </c>
      <c r="D164" s="1">
        <v>44826</v>
      </c>
      <c r="E164">
        <v>48503</v>
      </c>
      <c r="F164">
        <v>23791</v>
      </c>
      <c r="G164">
        <v>24712</v>
      </c>
    </row>
    <row r="165" spans="1:7" x14ac:dyDescent="0.25">
      <c r="A165">
        <v>3354</v>
      </c>
      <c r="B165" t="s">
        <v>45</v>
      </c>
      <c r="C165" s="1">
        <v>44827</v>
      </c>
      <c r="D165" s="1">
        <v>117974</v>
      </c>
      <c r="E165">
        <v>48472</v>
      </c>
      <c r="F165">
        <v>23701</v>
      </c>
      <c r="G165">
        <v>24771</v>
      </c>
    </row>
    <row r="166" spans="1:7" x14ac:dyDescent="0.25">
      <c r="A166">
        <v>3355</v>
      </c>
      <c r="B166" t="s">
        <v>46</v>
      </c>
      <c r="C166" s="1">
        <v>43831</v>
      </c>
      <c r="D166" s="1">
        <v>44111</v>
      </c>
      <c r="E166">
        <v>183372</v>
      </c>
    </row>
    <row r="167" spans="1:7" x14ac:dyDescent="0.25">
      <c r="A167">
        <v>3355</v>
      </c>
      <c r="B167" t="s">
        <v>46</v>
      </c>
      <c r="C167" s="1">
        <v>44112</v>
      </c>
      <c r="D167" s="1">
        <v>44433</v>
      </c>
      <c r="E167">
        <v>184139</v>
      </c>
    </row>
    <row r="168" spans="1:7" x14ac:dyDescent="0.25">
      <c r="A168">
        <v>3355</v>
      </c>
      <c r="B168" t="s">
        <v>46</v>
      </c>
      <c r="C168" s="1">
        <v>44434</v>
      </c>
      <c r="D168" s="1">
        <v>44826</v>
      </c>
      <c r="E168">
        <v>184235</v>
      </c>
      <c r="F168">
        <v>89914</v>
      </c>
      <c r="G168">
        <v>94321</v>
      </c>
    </row>
    <row r="169" spans="1:7" x14ac:dyDescent="0.25">
      <c r="A169">
        <v>3355</v>
      </c>
      <c r="B169" t="s">
        <v>46</v>
      </c>
      <c r="C169" s="1">
        <v>44827</v>
      </c>
      <c r="D169" s="1">
        <v>117974</v>
      </c>
      <c r="E169">
        <v>185129</v>
      </c>
      <c r="F169">
        <v>90292</v>
      </c>
      <c r="G169">
        <v>94837</v>
      </c>
    </row>
    <row r="170" spans="1:7" x14ac:dyDescent="0.25">
      <c r="A170">
        <v>3356</v>
      </c>
      <c r="B170" t="s">
        <v>47</v>
      </c>
      <c r="C170" s="1">
        <v>43831</v>
      </c>
      <c r="D170" s="1">
        <v>44111</v>
      </c>
      <c r="E170">
        <v>113517</v>
      </c>
    </row>
    <row r="171" spans="1:7" x14ac:dyDescent="0.25">
      <c r="A171">
        <v>3356</v>
      </c>
      <c r="B171" t="s">
        <v>47</v>
      </c>
      <c r="C171" s="1">
        <v>44112</v>
      </c>
      <c r="D171" s="1">
        <v>44433</v>
      </c>
      <c r="E171">
        <v>113928</v>
      </c>
    </row>
    <row r="172" spans="1:7" x14ac:dyDescent="0.25">
      <c r="A172">
        <v>3356</v>
      </c>
      <c r="B172" t="s">
        <v>47</v>
      </c>
      <c r="C172" s="1">
        <v>44434</v>
      </c>
      <c r="D172" s="1">
        <v>44826</v>
      </c>
      <c r="E172">
        <v>114640</v>
      </c>
      <c r="F172">
        <v>56217</v>
      </c>
      <c r="G172">
        <v>58423</v>
      </c>
    </row>
    <row r="173" spans="1:7" x14ac:dyDescent="0.25">
      <c r="A173">
        <v>3356</v>
      </c>
      <c r="B173" t="s">
        <v>47</v>
      </c>
      <c r="C173" s="1">
        <v>44827</v>
      </c>
      <c r="D173" s="1">
        <v>117974</v>
      </c>
      <c r="E173">
        <v>115054</v>
      </c>
      <c r="F173">
        <v>56317</v>
      </c>
      <c r="G173">
        <v>58737</v>
      </c>
    </row>
    <row r="174" spans="1:7" x14ac:dyDescent="0.25">
      <c r="A174">
        <v>3357</v>
      </c>
      <c r="B174" t="s">
        <v>48</v>
      </c>
      <c r="C174" s="1">
        <v>43831</v>
      </c>
      <c r="D174" s="1">
        <v>44111</v>
      </c>
      <c r="E174">
        <v>163455</v>
      </c>
    </row>
    <row r="175" spans="1:7" x14ac:dyDescent="0.25">
      <c r="A175">
        <v>3357</v>
      </c>
      <c r="B175" t="s">
        <v>48</v>
      </c>
      <c r="C175" s="1">
        <v>44112</v>
      </c>
      <c r="D175" s="1">
        <v>44433</v>
      </c>
      <c r="E175">
        <v>163782</v>
      </c>
    </row>
    <row r="176" spans="1:7" x14ac:dyDescent="0.25">
      <c r="A176">
        <v>3357</v>
      </c>
      <c r="B176" t="s">
        <v>48</v>
      </c>
      <c r="C176" s="1">
        <v>44434</v>
      </c>
      <c r="D176" s="1">
        <v>44826</v>
      </c>
      <c r="E176">
        <v>164486</v>
      </c>
      <c r="F176">
        <v>82542</v>
      </c>
      <c r="G176">
        <v>81944</v>
      </c>
    </row>
    <row r="177" spans="1:7" x14ac:dyDescent="0.25">
      <c r="A177">
        <v>3357</v>
      </c>
      <c r="B177" t="s">
        <v>48</v>
      </c>
      <c r="C177" s="1">
        <v>44827</v>
      </c>
      <c r="D177" s="1">
        <v>117974</v>
      </c>
      <c r="E177">
        <v>165001</v>
      </c>
      <c r="F177">
        <v>82752</v>
      </c>
      <c r="G177">
        <v>82249</v>
      </c>
    </row>
    <row r="178" spans="1:7" x14ac:dyDescent="0.25">
      <c r="A178">
        <v>3358</v>
      </c>
      <c r="B178" t="s">
        <v>49</v>
      </c>
      <c r="C178" s="1">
        <v>43831</v>
      </c>
      <c r="D178" s="1">
        <v>44111</v>
      </c>
      <c r="E178">
        <v>139755</v>
      </c>
    </row>
    <row r="179" spans="1:7" x14ac:dyDescent="0.25">
      <c r="A179">
        <v>3358</v>
      </c>
      <c r="B179" t="s">
        <v>49</v>
      </c>
      <c r="C179" s="1">
        <v>44112</v>
      </c>
      <c r="D179" s="1">
        <v>44433</v>
      </c>
      <c r="E179">
        <v>140673</v>
      </c>
    </row>
    <row r="180" spans="1:7" x14ac:dyDescent="0.25">
      <c r="A180">
        <v>3358</v>
      </c>
      <c r="B180" t="s">
        <v>49</v>
      </c>
      <c r="C180" s="1">
        <v>44434</v>
      </c>
      <c r="D180" s="1">
        <v>44826</v>
      </c>
      <c r="E180">
        <v>140885</v>
      </c>
      <c r="F180">
        <v>70403</v>
      </c>
      <c r="G180">
        <v>70482</v>
      </c>
    </row>
    <row r="181" spans="1:7" x14ac:dyDescent="0.25">
      <c r="A181">
        <v>3358</v>
      </c>
      <c r="B181" t="s">
        <v>49</v>
      </c>
      <c r="C181" s="1">
        <v>44827</v>
      </c>
      <c r="D181" s="1">
        <v>117974</v>
      </c>
      <c r="E181">
        <v>142912</v>
      </c>
      <c r="F181">
        <v>71543</v>
      </c>
      <c r="G181">
        <v>71369</v>
      </c>
    </row>
    <row r="182" spans="1:7" x14ac:dyDescent="0.25">
      <c r="A182">
        <v>3359</v>
      </c>
      <c r="B182" t="s">
        <v>50</v>
      </c>
      <c r="C182" s="1">
        <v>43831</v>
      </c>
      <c r="D182" s="1">
        <v>44111</v>
      </c>
      <c r="E182">
        <v>203102</v>
      </c>
    </row>
    <row r="183" spans="1:7" x14ac:dyDescent="0.25">
      <c r="A183">
        <v>3359</v>
      </c>
      <c r="B183" t="s">
        <v>50</v>
      </c>
      <c r="C183" s="1">
        <v>44112</v>
      </c>
      <c r="D183" s="1">
        <v>44433</v>
      </c>
      <c r="E183">
        <v>204512</v>
      </c>
    </row>
    <row r="184" spans="1:7" x14ac:dyDescent="0.25">
      <c r="A184">
        <v>3359</v>
      </c>
      <c r="B184" t="s">
        <v>50</v>
      </c>
      <c r="C184" s="1">
        <v>44434</v>
      </c>
      <c r="D184" s="1">
        <v>44826</v>
      </c>
      <c r="E184">
        <v>205357</v>
      </c>
      <c r="F184">
        <v>102187</v>
      </c>
      <c r="G184">
        <v>103170</v>
      </c>
    </row>
    <row r="185" spans="1:7" x14ac:dyDescent="0.25">
      <c r="A185">
        <v>3359</v>
      </c>
      <c r="B185" t="s">
        <v>50</v>
      </c>
      <c r="C185" s="1">
        <v>44827</v>
      </c>
      <c r="D185" s="1">
        <v>117974</v>
      </c>
      <c r="E185">
        <v>206496</v>
      </c>
      <c r="F185">
        <v>102726</v>
      </c>
      <c r="G185">
        <v>103770</v>
      </c>
    </row>
    <row r="186" spans="1:7" x14ac:dyDescent="0.25">
      <c r="A186">
        <v>3360</v>
      </c>
      <c r="B186" t="s">
        <v>51</v>
      </c>
      <c r="C186" s="1">
        <v>43831</v>
      </c>
      <c r="D186" s="1">
        <v>44111</v>
      </c>
      <c r="E186">
        <v>92572</v>
      </c>
    </row>
    <row r="187" spans="1:7" x14ac:dyDescent="0.25">
      <c r="A187">
        <v>3360</v>
      </c>
      <c r="B187" t="s">
        <v>51</v>
      </c>
      <c r="C187" s="1">
        <v>44112</v>
      </c>
      <c r="D187" s="1">
        <v>44433</v>
      </c>
      <c r="E187">
        <v>92389</v>
      </c>
    </row>
    <row r="188" spans="1:7" x14ac:dyDescent="0.25">
      <c r="A188">
        <v>3360</v>
      </c>
      <c r="B188" t="s">
        <v>51</v>
      </c>
      <c r="C188" s="1">
        <v>44434</v>
      </c>
      <c r="D188" s="1">
        <v>44826</v>
      </c>
      <c r="E188">
        <v>92566</v>
      </c>
      <c r="F188">
        <v>45215</v>
      </c>
      <c r="G188">
        <v>47351</v>
      </c>
    </row>
    <row r="189" spans="1:7" x14ac:dyDescent="0.25">
      <c r="A189">
        <v>3360</v>
      </c>
      <c r="B189" t="s">
        <v>51</v>
      </c>
      <c r="C189" s="1">
        <v>44827</v>
      </c>
      <c r="D189" s="1">
        <v>117974</v>
      </c>
      <c r="E189">
        <v>92894</v>
      </c>
      <c r="F189">
        <v>45374</v>
      </c>
      <c r="G189">
        <v>47520</v>
      </c>
    </row>
    <row r="190" spans="1:7" x14ac:dyDescent="0.25">
      <c r="A190">
        <v>3361</v>
      </c>
      <c r="B190" t="s">
        <v>52</v>
      </c>
      <c r="C190" s="1">
        <v>43831</v>
      </c>
      <c r="D190" s="1">
        <v>44111</v>
      </c>
      <c r="E190">
        <v>136792</v>
      </c>
    </row>
    <row r="191" spans="1:7" x14ac:dyDescent="0.25">
      <c r="A191">
        <v>3361</v>
      </c>
      <c r="B191" t="s">
        <v>52</v>
      </c>
      <c r="C191" s="1">
        <v>44112</v>
      </c>
      <c r="D191" s="1">
        <v>44433</v>
      </c>
      <c r="E191">
        <v>137133</v>
      </c>
    </row>
    <row r="192" spans="1:7" x14ac:dyDescent="0.25">
      <c r="A192">
        <v>3361</v>
      </c>
      <c r="B192" t="s">
        <v>52</v>
      </c>
      <c r="C192" s="1">
        <v>44434</v>
      </c>
      <c r="D192" s="1">
        <v>44826</v>
      </c>
      <c r="E192">
        <v>137574</v>
      </c>
      <c r="F192">
        <v>67584</v>
      </c>
      <c r="G192">
        <v>69990</v>
      </c>
    </row>
    <row r="193" spans="1:7" x14ac:dyDescent="0.25">
      <c r="A193">
        <v>3361</v>
      </c>
      <c r="B193" t="s">
        <v>52</v>
      </c>
      <c r="C193" s="1">
        <v>44827</v>
      </c>
      <c r="D193" s="1">
        <v>117974</v>
      </c>
      <c r="E193">
        <v>138507</v>
      </c>
      <c r="F193">
        <v>68048</v>
      </c>
      <c r="G193">
        <v>70459</v>
      </c>
    </row>
    <row r="194" spans="1:7" x14ac:dyDescent="0.25">
      <c r="A194">
        <v>3401</v>
      </c>
      <c r="B194" t="s">
        <v>53</v>
      </c>
      <c r="C194" s="1">
        <v>43831</v>
      </c>
      <c r="D194" s="1">
        <v>44111</v>
      </c>
      <c r="E194">
        <v>77607</v>
      </c>
    </row>
    <row r="195" spans="1:7" x14ac:dyDescent="0.25">
      <c r="A195">
        <v>3401</v>
      </c>
      <c r="B195" t="s">
        <v>53</v>
      </c>
      <c r="C195" s="1">
        <v>44112</v>
      </c>
      <c r="D195" s="1">
        <v>44433</v>
      </c>
      <c r="E195">
        <v>77559</v>
      </c>
    </row>
    <row r="196" spans="1:7" x14ac:dyDescent="0.25">
      <c r="A196">
        <v>3401</v>
      </c>
      <c r="B196" t="s">
        <v>53</v>
      </c>
      <c r="C196" s="1">
        <v>44434</v>
      </c>
      <c r="D196" s="1">
        <v>44826</v>
      </c>
      <c r="E196">
        <v>77503</v>
      </c>
      <c r="F196">
        <v>38272</v>
      </c>
      <c r="G196">
        <v>39231</v>
      </c>
    </row>
    <row r="197" spans="1:7" x14ac:dyDescent="0.25">
      <c r="A197">
        <v>3401</v>
      </c>
      <c r="B197" t="s">
        <v>53</v>
      </c>
      <c r="C197" s="1">
        <v>44827</v>
      </c>
      <c r="D197" s="1">
        <v>117974</v>
      </c>
      <c r="E197">
        <v>77522</v>
      </c>
      <c r="F197">
        <v>38263</v>
      </c>
      <c r="G197">
        <v>39259</v>
      </c>
    </row>
    <row r="198" spans="1:7" x14ac:dyDescent="0.25">
      <c r="A198">
        <v>3402</v>
      </c>
      <c r="B198" t="s">
        <v>54</v>
      </c>
      <c r="C198" s="1">
        <v>43831</v>
      </c>
      <c r="D198" s="1">
        <v>44111</v>
      </c>
      <c r="E198">
        <v>50195</v>
      </c>
    </row>
    <row r="199" spans="1:7" x14ac:dyDescent="0.25">
      <c r="A199">
        <v>3402</v>
      </c>
      <c r="B199" t="s">
        <v>54</v>
      </c>
      <c r="C199" s="1">
        <v>44112</v>
      </c>
      <c r="D199" s="1">
        <v>44433</v>
      </c>
      <c r="E199">
        <v>49913</v>
      </c>
    </row>
    <row r="200" spans="1:7" x14ac:dyDescent="0.25">
      <c r="A200">
        <v>3402</v>
      </c>
      <c r="B200" t="s">
        <v>54</v>
      </c>
      <c r="C200" s="1">
        <v>44434</v>
      </c>
      <c r="D200" s="1">
        <v>44826</v>
      </c>
      <c r="E200">
        <v>49874</v>
      </c>
      <c r="F200">
        <v>24869</v>
      </c>
      <c r="G200">
        <v>25005</v>
      </c>
    </row>
    <row r="201" spans="1:7" x14ac:dyDescent="0.25">
      <c r="A201">
        <v>3402</v>
      </c>
      <c r="B201" t="s">
        <v>54</v>
      </c>
      <c r="C201" s="1">
        <v>44827</v>
      </c>
      <c r="D201" s="1">
        <v>117974</v>
      </c>
      <c r="E201">
        <v>49523</v>
      </c>
      <c r="F201">
        <v>24672</v>
      </c>
      <c r="G201">
        <v>24851</v>
      </c>
    </row>
    <row r="202" spans="1:7" x14ac:dyDescent="0.25">
      <c r="A202">
        <v>3403</v>
      </c>
      <c r="B202" t="s">
        <v>55</v>
      </c>
      <c r="C202" s="1">
        <v>43831</v>
      </c>
      <c r="D202" s="1">
        <v>44111</v>
      </c>
      <c r="E202">
        <v>168210</v>
      </c>
    </row>
    <row r="203" spans="1:7" x14ac:dyDescent="0.25">
      <c r="A203">
        <v>3403</v>
      </c>
      <c r="B203" t="s">
        <v>55</v>
      </c>
      <c r="C203" s="1">
        <v>44112</v>
      </c>
      <c r="D203" s="1">
        <v>44433</v>
      </c>
      <c r="E203">
        <v>169077</v>
      </c>
    </row>
    <row r="204" spans="1:7" x14ac:dyDescent="0.25">
      <c r="A204">
        <v>3403</v>
      </c>
      <c r="B204" t="s">
        <v>55</v>
      </c>
      <c r="C204" s="1">
        <v>44434</v>
      </c>
      <c r="D204" s="1">
        <v>44826</v>
      </c>
      <c r="E204">
        <v>169605</v>
      </c>
      <c r="F204">
        <v>81362</v>
      </c>
      <c r="G204">
        <v>88243</v>
      </c>
    </row>
    <row r="205" spans="1:7" x14ac:dyDescent="0.25">
      <c r="A205">
        <v>3403</v>
      </c>
      <c r="B205" t="s">
        <v>55</v>
      </c>
      <c r="C205" s="1">
        <v>44827</v>
      </c>
      <c r="D205" s="1">
        <v>117974</v>
      </c>
      <c r="E205">
        <v>170389</v>
      </c>
      <c r="F205">
        <v>81715</v>
      </c>
      <c r="G205">
        <v>88674</v>
      </c>
    </row>
    <row r="206" spans="1:7" x14ac:dyDescent="0.25">
      <c r="A206">
        <v>3404</v>
      </c>
      <c r="B206" t="s">
        <v>56</v>
      </c>
      <c r="C206" s="1">
        <v>43831</v>
      </c>
      <c r="D206" s="1">
        <v>44111</v>
      </c>
      <c r="E206">
        <v>164748</v>
      </c>
    </row>
    <row r="207" spans="1:7" x14ac:dyDescent="0.25">
      <c r="A207">
        <v>3404</v>
      </c>
      <c r="B207" t="s">
        <v>56</v>
      </c>
      <c r="C207" s="1">
        <v>44112</v>
      </c>
      <c r="D207" s="1">
        <v>44433</v>
      </c>
      <c r="E207">
        <v>165251</v>
      </c>
    </row>
    <row r="208" spans="1:7" x14ac:dyDescent="0.25">
      <c r="A208">
        <v>3404</v>
      </c>
      <c r="B208" t="s">
        <v>56</v>
      </c>
      <c r="C208" s="1">
        <v>44434</v>
      </c>
      <c r="D208" s="1">
        <v>44826</v>
      </c>
      <c r="E208">
        <v>164223</v>
      </c>
      <c r="F208">
        <v>79475</v>
      </c>
      <c r="G208">
        <v>84748</v>
      </c>
    </row>
    <row r="209" spans="1:7" x14ac:dyDescent="0.25">
      <c r="A209">
        <v>3404</v>
      </c>
      <c r="B209" t="s">
        <v>56</v>
      </c>
      <c r="C209" s="1">
        <v>44827</v>
      </c>
      <c r="D209" s="1">
        <v>117974</v>
      </c>
      <c r="E209">
        <v>165034</v>
      </c>
      <c r="F209">
        <v>79834</v>
      </c>
      <c r="G209">
        <v>85200</v>
      </c>
    </row>
    <row r="210" spans="1:7" x14ac:dyDescent="0.25">
      <c r="A210">
        <v>3405</v>
      </c>
      <c r="B210" t="s">
        <v>57</v>
      </c>
      <c r="C210" s="1">
        <v>43831</v>
      </c>
      <c r="D210" s="1">
        <v>44111</v>
      </c>
      <c r="E210">
        <v>76278</v>
      </c>
    </row>
    <row r="211" spans="1:7" x14ac:dyDescent="0.25">
      <c r="A211">
        <v>3405</v>
      </c>
      <c r="B211" t="s">
        <v>57</v>
      </c>
      <c r="C211" s="1">
        <v>44112</v>
      </c>
      <c r="D211" s="1">
        <v>44433</v>
      </c>
      <c r="E211">
        <v>76089</v>
      </c>
    </row>
    <row r="212" spans="1:7" x14ac:dyDescent="0.25">
      <c r="A212">
        <v>3405</v>
      </c>
      <c r="B212" t="s">
        <v>57</v>
      </c>
      <c r="C212" s="1">
        <v>44434</v>
      </c>
      <c r="D212" s="1">
        <v>44826</v>
      </c>
      <c r="E212">
        <v>75189</v>
      </c>
      <c r="F212">
        <v>36914</v>
      </c>
      <c r="G212">
        <v>38275</v>
      </c>
    </row>
    <row r="213" spans="1:7" x14ac:dyDescent="0.25">
      <c r="A213">
        <v>3405</v>
      </c>
      <c r="B213" t="s">
        <v>57</v>
      </c>
      <c r="C213" s="1">
        <v>44827</v>
      </c>
      <c r="D213" s="1">
        <v>117974</v>
      </c>
      <c r="E213">
        <v>75027</v>
      </c>
      <c r="F213">
        <v>36856</v>
      </c>
      <c r="G213">
        <v>38171</v>
      </c>
    </row>
    <row r="214" spans="1:7" x14ac:dyDescent="0.25">
      <c r="A214">
        <v>3451</v>
      </c>
      <c r="B214" t="s">
        <v>58</v>
      </c>
      <c r="C214" s="1">
        <v>43831</v>
      </c>
      <c r="D214" s="1">
        <v>44111</v>
      </c>
      <c r="E214">
        <v>124071</v>
      </c>
    </row>
    <row r="215" spans="1:7" x14ac:dyDescent="0.25">
      <c r="A215">
        <v>3451</v>
      </c>
      <c r="B215" t="s">
        <v>58</v>
      </c>
      <c r="C215" s="1">
        <v>44112</v>
      </c>
      <c r="D215" s="1">
        <v>44433</v>
      </c>
      <c r="E215">
        <v>124859</v>
      </c>
    </row>
    <row r="216" spans="1:7" x14ac:dyDescent="0.25">
      <c r="A216">
        <v>3451</v>
      </c>
      <c r="B216" t="s">
        <v>58</v>
      </c>
      <c r="C216" s="1">
        <v>44434</v>
      </c>
      <c r="D216" s="1">
        <v>44826</v>
      </c>
      <c r="E216">
        <v>125643</v>
      </c>
      <c r="F216">
        <v>61253</v>
      </c>
      <c r="G216">
        <v>64390</v>
      </c>
    </row>
    <row r="217" spans="1:7" x14ac:dyDescent="0.25">
      <c r="A217">
        <v>3451</v>
      </c>
      <c r="B217" t="s">
        <v>58</v>
      </c>
      <c r="C217" s="1">
        <v>44827</v>
      </c>
      <c r="D217" s="1">
        <v>117974</v>
      </c>
      <c r="E217">
        <v>126475</v>
      </c>
      <c r="F217">
        <v>61706</v>
      </c>
      <c r="G217">
        <v>64769</v>
      </c>
    </row>
    <row r="218" spans="1:7" x14ac:dyDescent="0.25">
      <c r="A218">
        <v>3452</v>
      </c>
      <c r="B218" t="s">
        <v>59</v>
      </c>
      <c r="C218" s="1">
        <v>43831</v>
      </c>
      <c r="D218" s="1">
        <v>44111</v>
      </c>
      <c r="E218">
        <v>189848</v>
      </c>
    </row>
    <row r="219" spans="1:7" x14ac:dyDescent="0.25">
      <c r="A219">
        <v>3452</v>
      </c>
      <c r="B219" t="s">
        <v>59</v>
      </c>
      <c r="C219" s="1">
        <v>44112</v>
      </c>
      <c r="D219" s="1">
        <v>44433</v>
      </c>
      <c r="E219">
        <v>189694</v>
      </c>
    </row>
    <row r="220" spans="1:7" x14ac:dyDescent="0.25">
      <c r="A220">
        <v>3452</v>
      </c>
      <c r="B220" t="s">
        <v>59</v>
      </c>
      <c r="C220" s="1">
        <v>44434</v>
      </c>
      <c r="D220" s="1">
        <v>44826</v>
      </c>
      <c r="E220">
        <v>190178</v>
      </c>
      <c r="F220">
        <v>93479</v>
      </c>
      <c r="G220">
        <v>96699</v>
      </c>
    </row>
    <row r="221" spans="1:7" x14ac:dyDescent="0.25">
      <c r="A221">
        <v>3452</v>
      </c>
      <c r="B221" t="s">
        <v>59</v>
      </c>
      <c r="C221" s="1">
        <v>44827</v>
      </c>
      <c r="D221" s="1">
        <v>117974</v>
      </c>
      <c r="E221">
        <v>190425</v>
      </c>
      <c r="F221">
        <v>93549</v>
      </c>
      <c r="G221">
        <v>96876</v>
      </c>
    </row>
    <row r="222" spans="1:7" x14ac:dyDescent="0.25">
      <c r="A222">
        <v>3453</v>
      </c>
      <c r="B222" t="s">
        <v>60</v>
      </c>
      <c r="C222" s="1">
        <v>43831</v>
      </c>
      <c r="D222" s="1">
        <v>44111</v>
      </c>
      <c r="E222">
        <v>169348</v>
      </c>
    </row>
    <row r="223" spans="1:7" x14ac:dyDescent="0.25">
      <c r="A223">
        <v>3453</v>
      </c>
      <c r="B223" t="s">
        <v>60</v>
      </c>
      <c r="C223" s="1">
        <v>44112</v>
      </c>
      <c r="D223" s="1">
        <v>44433</v>
      </c>
      <c r="E223">
        <v>170682</v>
      </c>
    </row>
    <row r="224" spans="1:7" x14ac:dyDescent="0.25">
      <c r="A224">
        <v>3453</v>
      </c>
      <c r="B224" t="s">
        <v>60</v>
      </c>
      <c r="C224" s="1">
        <v>44434</v>
      </c>
      <c r="D224" s="1">
        <v>44826</v>
      </c>
      <c r="E224">
        <v>172632</v>
      </c>
      <c r="F224">
        <v>87408</v>
      </c>
      <c r="G224">
        <v>85224</v>
      </c>
    </row>
    <row r="225" spans="1:7" x14ac:dyDescent="0.25">
      <c r="A225">
        <v>3453</v>
      </c>
      <c r="B225" t="s">
        <v>60</v>
      </c>
      <c r="C225" s="1">
        <v>44827</v>
      </c>
      <c r="D225" s="1">
        <v>117974</v>
      </c>
      <c r="E225">
        <v>173980</v>
      </c>
      <c r="F225">
        <v>88060</v>
      </c>
      <c r="G225">
        <v>85920</v>
      </c>
    </row>
    <row r="226" spans="1:7" x14ac:dyDescent="0.25">
      <c r="A226">
        <v>3454</v>
      </c>
      <c r="B226" t="s">
        <v>61</v>
      </c>
      <c r="C226" s="1">
        <v>43831</v>
      </c>
      <c r="D226" s="1">
        <v>44111</v>
      </c>
      <c r="E226">
        <v>325657</v>
      </c>
    </row>
    <row r="227" spans="1:7" x14ac:dyDescent="0.25">
      <c r="A227">
        <v>3454</v>
      </c>
      <c r="B227" t="s">
        <v>61</v>
      </c>
      <c r="C227" s="1">
        <v>44112</v>
      </c>
      <c r="D227" s="1">
        <v>44433</v>
      </c>
      <c r="E227">
        <v>326954</v>
      </c>
    </row>
    <row r="228" spans="1:7" x14ac:dyDescent="0.25">
      <c r="A228">
        <v>3454</v>
      </c>
      <c r="B228" t="s">
        <v>61</v>
      </c>
      <c r="C228" s="1">
        <v>44434</v>
      </c>
      <c r="D228" s="1">
        <v>44826</v>
      </c>
      <c r="E228">
        <v>328930</v>
      </c>
      <c r="F228">
        <v>166929</v>
      </c>
      <c r="G228">
        <v>162001</v>
      </c>
    </row>
    <row r="229" spans="1:7" x14ac:dyDescent="0.25">
      <c r="A229">
        <v>3454</v>
      </c>
      <c r="B229" t="s">
        <v>61</v>
      </c>
      <c r="C229" s="1">
        <v>44827</v>
      </c>
      <c r="D229" s="1">
        <v>117974</v>
      </c>
      <c r="E229">
        <v>331397</v>
      </c>
      <c r="F229">
        <v>168010</v>
      </c>
      <c r="G229">
        <v>163387</v>
      </c>
    </row>
    <row r="230" spans="1:7" x14ac:dyDescent="0.25">
      <c r="A230">
        <v>3455</v>
      </c>
      <c r="B230" t="s">
        <v>62</v>
      </c>
      <c r="C230" s="1">
        <v>43831</v>
      </c>
      <c r="D230" s="1">
        <v>44111</v>
      </c>
      <c r="E230">
        <v>98460</v>
      </c>
    </row>
    <row r="231" spans="1:7" x14ac:dyDescent="0.25">
      <c r="A231">
        <v>3455</v>
      </c>
      <c r="B231" t="s">
        <v>62</v>
      </c>
      <c r="C231" s="1">
        <v>44112</v>
      </c>
      <c r="D231" s="1">
        <v>44433</v>
      </c>
      <c r="E231">
        <v>98704</v>
      </c>
    </row>
    <row r="232" spans="1:7" x14ac:dyDescent="0.25">
      <c r="A232">
        <v>3455</v>
      </c>
      <c r="B232" t="s">
        <v>62</v>
      </c>
      <c r="C232" s="1">
        <v>44434</v>
      </c>
      <c r="D232" s="1">
        <v>44826</v>
      </c>
      <c r="E232">
        <v>98971</v>
      </c>
      <c r="F232">
        <v>48233</v>
      </c>
      <c r="G232">
        <v>50738</v>
      </c>
    </row>
    <row r="233" spans="1:7" x14ac:dyDescent="0.25">
      <c r="A233">
        <v>3455</v>
      </c>
      <c r="B233" t="s">
        <v>62</v>
      </c>
      <c r="C233" s="1">
        <v>44827</v>
      </c>
      <c r="D233" s="1">
        <v>117974</v>
      </c>
      <c r="E233">
        <v>98971</v>
      </c>
      <c r="F233">
        <v>48171</v>
      </c>
      <c r="G233">
        <v>50800</v>
      </c>
    </row>
    <row r="234" spans="1:7" x14ac:dyDescent="0.25">
      <c r="A234">
        <v>3456</v>
      </c>
      <c r="B234" t="s">
        <v>63</v>
      </c>
      <c r="C234" s="1">
        <v>43831</v>
      </c>
      <c r="D234" s="1">
        <v>44111</v>
      </c>
      <c r="E234">
        <v>136511</v>
      </c>
    </row>
    <row r="235" spans="1:7" x14ac:dyDescent="0.25">
      <c r="A235">
        <v>3456</v>
      </c>
      <c r="B235" t="s">
        <v>63</v>
      </c>
      <c r="C235" s="1">
        <v>44112</v>
      </c>
      <c r="D235" s="1">
        <v>44433</v>
      </c>
      <c r="E235">
        <v>137162</v>
      </c>
    </row>
    <row r="236" spans="1:7" x14ac:dyDescent="0.25">
      <c r="A236">
        <v>3456</v>
      </c>
      <c r="B236" t="s">
        <v>63</v>
      </c>
      <c r="C236" s="1">
        <v>44434</v>
      </c>
      <c r="D236" s="1">
        <v>44826</v>
      </c>
      <c r="E236">
        <v>137891</v>
      </c>
      <c r="F236">
        <v>69038</v>
      </c>
      <c r="G236">
        <v>68853</v>
      </c>
    </row>
    <row r="237" spans="1:7" x14ac:dyDescent="0.25">
      <c r="A237">
        <v>3456</v>
      </c>
      <c r="B237" t="s">
        <v>63</v>
      </c>
      <c r="C237" s="1">
        <v>44827</v>
      </c>
      <c r="D237" s="1">
        <v>117974</v>
      </c>
      <c r="E237">
        <v>138722</v>
      </c>
      <c r="F237">
        <v>69384</v>
      </c>
      <c r="G237">
        <v>69338</v>
      </c>
    </row>
    <row r="238" spans="1:7" x14ac:dyDescent="0.25">
      <c r="A238">
        <v>3457</v>
      </c>
      <c r="B238" t="s">
        <v>64</v>
      </c>
      <c r="C238" s="1">
        <v>43831</v>
      </c>
      <c r="D238" s="1">
        <v>44111</v>
      </c>
      <c r="E238">
        <v>169809</v>
      </c>
    </row>
    <row r="239" spans="1:7" x14ac:dyDescent="0.25">
      <c r="A239">
        <v>3457</v>
      </c>
      <c r="B239" t="s">
        <v>64</v>
      </c>
      <c r="C239" s="1">
        <v>44112</v>
      </c>
      <c r="D239" s="1">
        <v>44433</v>
      </c>
      <c r="E239">
        <v>170756</v>
      </c>
    </row>
    <row r="240" spans="1:7" x14ac:dyDescent="0.25">
      <c r="A240">
        <v>3457</v>
      </c>
      <c r="B240" t="s">
        <v>64</v>
      </c>
      <c r="C240" s="1">
        <v>44434</v>
      </c>
      <c r="D240" s="1">
        <v>44826</v>
      </c>
      <c r="E240">
        <v>171483</v>
      </c>
      <c r="F240">
        <v>85430</v>
      </c>
      <c r="G240">
        <v>86053</v>
      </c>
    </row>
    <row r="241" spans="1:7" x14ac:dyDescent="0.25">
      <c r="A241">
        <v>3457</v>
      </c>
      <c r="B241" t="s">
        <v>64</v>
      </c>
      <c r="C241" s="1">
        <v>44827</v>
      </c>
      <c r="D241" s="1">
        <v>117974</v>
      </c>
      <c r="E241">
        <v>172421</v>
      </c>
      <c r="F241">
        <v>85910</v>
      </c>
      <c r="G241">
        <v>86511</v>
      </c>
    </row>
    <row r="242" spans="1:7" x14ac:dyDescent="0.25">
      <c r="A242">
        <v>3458</v>
      </c>
      <c r="B242" t="s">
        <v>65</v>
      </c>
      <c r="C242" s="1">
        <v>43831</v>
      </c>
      <c r="D242" s="1">
        <v>44111</v>
      </c>
      <c r="E242">
        <v>130144</v>
      </c>
    </row>
    <row r="243" spans="1:7" x14ac:dyDescent="0.25">
      <c r="A243">
        <v>3458</v>
      </c>
      <c r="B243" t="s">
        <v>65</v>
      </c>
      <c r="C243" s="1">
        <v>44112</v>
      </c>
      <c r="D243" s="1">
        <v>44433</v>
      </c>
      <c r="E243">
        <v>130890</v>
      </c>
    </row>
    <row r="244" spans="1:7" x14ac:dyDescent="0.25">
      <c r="A244">
        <v>3458</v>
      </c>
      <c r="B244" t="s">
        <v>65</v>
      </c>
      <c r="C244" s="1">
        <v>44434</v>
      </c>
      <c r="D244" s="1">
        <v>44826</v>
      </c>
      <c r="E244">
        <v>131467</v>
      </c>
      <c r="F244">
        <v>65231</v>
      </c>
      <c r="G244">
        <v>66236</v>
      </c>
    </row>
    <row r="245" spans="1:7" x14ac:dyDescent="0.25">
      <c r="A245">
        <v>3458</v>
      </c>
      <c r="B245" t="s">
        <v>65</v>
      </c>
      <c r="C245" s="1">
        <v>44827</v>
      </c>
      <c r="D245" s="1">
        <v>117974</v>
      </c>
      <c r="E245">
        <v>132091</v>
      </c>
      <c r="F245">
        <v>65542</v>
      </c>
      <c r="G245">
        <v>66549</v>
      </c>
    </row>
    <row r="246" spans="1:7" x14ac:dyDescent="0.25">
      <c r="A246">
        <v>3459</v>
      </c>
      <c r="B246" t="s">
        <v>66</v>
      </c>
      <c r="C246" s="1">
        <v>43831</v>
      </c>
      <c r="D246" s="1">
        <v>44111</v>
      </c>
      <c r="E246">
        <v>357343</v>
      </c>
    </row>
    <row r="247" spans="1:7" x14ac:dyDescent="0.25">
      <c r="A247">
        <v>3459</v>
      </c>
      <c r="B247" t="s">
        <v>66</v>
      </c>
      <c r="C247" s="1">
        <v>44112</v>
      </c>
      <c r="D247" s="1">
        <v>44433</v>
      </c>
      <c r="E247">
        <v>358080</v>
      </c>
    </row>
    <row r="248" spans="1:7" x14ac:dyDescent="0.25">
      <c r="A248">
        <v>3459</v>
      </c>
      <c r="B248" t="s">
        <v>66</v>
      </c>
      <c r="C248" s="1">
        <v>44434</v>
      </c>
      <c r="D248" s="1">
        <v>44826</v>
      </c>
      <c r="E248">
        <v>359471</v>
      </c>
      <c r="F248">
        <v>178390</v>
      </c>
      <c r="G248">
        <v>181081</v>
      </c>
    </row>
    <row r="249" spans="1:7" x14ac:dyDescent="0.25">
      <c r="A249">
        <v>3459</v>
      </c>
      <c r="B249" t="s">
        <v>66</v>
      </c>
      <c r="C249" s="1">
        <v>44827</v>
      </c>
      <c r="D249" s="1">
        <v>117974</v>
      </c>
      <c r="E249">
        <v>361550</v>
      </c>
      <c r="F249">
        <v>179587</v>
      </c>
      <c r="G249">
        <v>181963</v>
      </c>
    </row>
    <row r="250" spans="1:7" x14ac:dyDescent="0.25">
      <c r="A250">
        <v>3460</v>
      </c>
      <c r="B250" t="s">
        <v>67</v>
      </c>
      <c r="C250" s="1">
        <v>43831</v>
      </c>
      <c r="D250" s="1">
        <v>44111</v>
      </c>
      <c r="E250">
        <v>141598</v>
      </c>
    </row>
    <row r="251" spans="1:7" x14ac:dyDescent="0.25">
      <c r="A251">
        <v>3460</v>
      </c>
      <c r="B251" t="s">
        <v>67</v>
      </c>
      <c r="C251" s="1">
        <v>44112</v>
      </c>
      <c r="D251" s="1">
        <v>44433</v>
      </c>
      <c r="E251">
        <v>142814</v>
      </c>
    </row>
    <row r="252" spans="1:7" x14ac:dyDescent="0.25">
      <c r="A252">
        <v>3460</v>
      </c>
      <c r="B252" t="s">
        <v>67</v>
      </c>
      <c r="C252" s="1">
        <v>44434</v>
      </c>
      <c r="D252" s="1">
        <v>44826</v>
      </c>
      <c r="E252">
        <v>143698</v>
      </c>
      <c r="F252">
        <v>72588</v>
      </c>
      <c r="G252">
        <v>71110</v>
      </c>
    </row>
    <row r="253" spans="1:7" x14ac:dyDescent="0.25">
      <c r="A253">
        <v>3460</v>
      </c>
      <c r="B253" t="s">
        <v>67</v>
      </c>
      <c r="C253" s="1">
        <v>44827</v>
      </c>
      <c r="D253" s="1">
        <v>117974</v>
      </c>
      <c r="E253">
        <v>144805</v>
      </c>
      <c r="F253">
        <v>73010</v>
      </c>
      <c r="G253">
        <v>71795</v>
      </c>
    </row>
    <row r="254" spans="1:7" x14ac:dyDescent="0.25">
      <c r="A254">
        <v>3461</v>
      </c>
      <c r="B254" t="s">
        <v>68</v>
      </c>
      <c r="C254" s="1">
        <v>43831</v>
      </c>
      <c r="D254" s="1">
        <v>44111</v>
      </c>
      <c r="E254">
        <v>88624</v>
      </c>
    </row>
    <row r="255" spans="1:7" x14ac:dyDescent="0.25">
      <c r="A255">
        <v>3461</v>
      </c>
      <c r="B255" t="s">
        <v>68</v>
      </c>
      <c r="C255" s="1">
        <v>44112</v>
      </c>
      <c r="D255" s="1">
        <v>44433</v>
      </c>
      <c r="E255">
        <v>88583</v>
      </c>
    </row>
    <row r="256" spans="1:7" x14ac:dyDescent="0.25">
      <c r="A256">
        <v>3461</v>
      </c>
      <c r="B256" t="s">
        <v>68</v>
      </c>
      <c r="C256" s="1">
        <v>44434</v>
      </c>
      <c r="D256" s="1">
        <v>44826</v>
      </c>
      <c r="E256">
        <v>88524</v>
      </c>
      <c r="F256">
        <v>44329</v>
      </c>
      <c r="G256">
        <v>44195</v>
      </c>
    </row>
    <row r="257" spans="1:7" x14ac:dyDescent="0.25">
      <c r="A257">
        <v>3461</v>
      </c>
      <c r="B257" t="s">
        <v>68</v>
      </c>
      <c r="C257" s="1">
        <v>44827</v>
      </c>
      <c r="D257" s="1">
        <v>117974</v>
      </c>
      <c r="E257">
        <v>88430</v>
      </c>
      <c r="F257">
        <v>44226</v>
      </c>
      <c r="G257">
        <v>44204</v>
      </c>
    </row>
    <row r="258" spans="1:7" x14ac:dyDescent="0.25">
      <c r="A258">
        <v>3462</v>
      </c>
      <c r="B258" t="s">
        <v>69</v>
      </c>
      <c r="C258" s="1">
        <v>43831</v>
      </c>
      <c r="D258" s="1">
        <v>44111</v>
      </c>
      <c r="E258">
        <v>56882</v>
      </c>
    </row>
    <row r="259" spans="1:7" x14ac:dyDescent="0.25">
      <c r="A259">
        <v>3462</v>
      </c>
      <c r="B259" t="s">
        <v>69</v>
      </c>
      <c r="C259" s="1">
        <v>44112</v>
      </c>
      <c r="D259" s="1">
        <v>44433</v>
      </c>
      <c r="E259">
        <v>56926</v>
      </c>
    </row>
    <row r="260" spans="1:7" x14ac:dyDescent="0.25">
      <c r="A260">
        <v>3462</v>
      </c>
      <c r="B260" t="s">
        <v>69</v>
      </c>
      <c r="C260" s="1">
        <v>44434</v>
      </c>
      <c r="D260" s="1">
        <v>44826</v>
      </c>
      <c r="E260">
        <v>57384</v>
      </c>
      <c r="F260">
        <v>28124</v>
      </c>
      <c r="G260">
        <v>29260</v>
      </c>
    </row>
    <row r="261" spans="1:7" x14ac:dyDescent="0.25">
      <c r="A261">
        <v>3462</v>
      </c>
      <c r="B261" t="s">
        <v>69</v>
      </c>
      <c r="C261" s="1">
        <v>44827</v>
      </c>
      <c r="D261" s="1">
        <v>117974</v>
      </c>
      <c r="E261">
        <v>57455</v>
      </c>
      <c r="F261">
        <v>28138</v>
      </c>
      <c r="G261">
        <v>29317</v>
      </c>
    </row>
    <row r="262" spans="1:7" x14ac:dyDescent="0.25">
      <c r="A262">
        <v>4</v>
      </c>
      <c r="B262" t="s">
        <v>70</v>
      </c>
      <c r="C262" s="1">
        <v>43831</v>
      </c>
      <c r="D262" s="1">
        <v>44111</v>
      </c>
      <c r="E262">
        <v>682986</v>
      </c>
    </row>
    <row r="263" spans="1:7" x14ac:dyDescent="0.25">
      <c r="A263">
        <v>4</v>
      </c>
      <c r="B263" t="s">
        <v>70</v>
      </c>
      <c r="C263" s="1">
        <v>44112</v>
      </c>
      <c r="D263" s="1">
        <v>44433</v>
      </c>
      <c r="E263">
        <v>681202</v>
      </c>
    </row>
    <row r="264" spans="1:7" x14ac:dyDescent="0.25">
      <c r="A264">
        <v>4</v>
      </c>
      <c r="B264" t="s">
        <v>70</v>
      </c>
      <c r="C264" s="1">
        <v>44434</v>
      </c>
      <c r="D264" s="1">
        <v>44826</v>
      </c>
      <c r="E264">
        <v>680130</v>
      </c>
      <c r="F264">
        <v>336390</v>
      </c>
      <c r="G264">
        <v>343740</v>
      </c>
    </row>
    <row r="265" spans="1:7" x14ac:dyDescent="0.25">
      <c r="A265">
        <v>4</v>
      </c>
      <c r="B265" t="s">
        <v>70</v>
      </c>
      <c r="C265" s="1">
        <v>44827</v>
      </c>
      <c r="D265" s="1">
        <v>117974</v>
      </c>
      <c r="E265">
        <v>676463</v>
      </c>
      <c r="F265">
        <v>334319</v>
      </c>
      <c r="G265">
        <v>342144</v>
      </c>
    </row>
    <row r="266" spans="1:7" x14ac:dyDescent="0.25">
      <c r="A266">
        <v>4011</v>
      </c>
      <c r="B266" t="s">
        <v>71</v>
      </c>
      <c r="C266" s="1">
        <v>43831</v>
      </c>
      <c r="D266" s="1">
        <v>44111</v>
      </c>
      <c r="E266">
        <v>569352</v>
      </c>
    </row>
    <row r="267" spans="1:7" x14ac:dyDescent="0.25">
      <c r="A267">
        <v>4011</v>
      </c>
      <c r="B267" t="s">
        <v>71</v>
      </c>
      <c r="C267" s="1">
        <v>44112</v>
      </c>
      <c r="D267" s="1">
        <v>44433</v>
      </c>
      <c r="E267">
        <v>567559</v>
      </c>
    </row>
    <row r="268" spans="1:7" x14ac:dyDescent="0.25">
      <c r="A268">
        <v>4011</v>
      </c>
      <c r="B268" t="s">
        <v>71</v>
      </c>
      <c r="C268" s="1">
        <v>44434</v>
      </c>
      <c r="D268" s="1">
        <v>44826</v>
      </c>
      <c r="E268">
        <v>566573</v>
      </c>
      <c r="F268">
        <v>279841</v>
      </c>
      <c r="G268">
        <v>286732</v>
      </c>
    </row>
    <row r="269" spans="1:7" x14ac:dyDescent="0.25">
      <c r="A269">
        <v>4011</v>
      </c>
      <c r="B269" t="s">
        <v>71</v>
      </c>
      <c r="C269" s="1">
        <v>44827</v>
      </c>
      <c r="D269" s="1">
        <v>117974</v>
      </c>
      <c r="E269">
        <v>563290</v>
      </c>
      <c r="F269">
        <v>278085</v>
      </c>
      <c r="G269">
        <v>285205</v>
      </c>
    </row>
    <row r="270" spans="1:7" x14ac:dyDescent="0.25">
      <c r="A270">
        <v>4012</v>
      </c>
      <c r="B270" t="s">
        <v>72</v>
      </c>
      <c r="C270" s="1">
        <v>43831</v>
      </c>
      <c r="D270" s="1">
        <v>44111</v>
      </c>
      <c r="E270">
        <v>113634</v>
      </c>
    </row>
    <row r="271" spans="1:7" x14ac:dyDescent="0.25">
      <c r="A271">
        <v>4012</v>
      </c>
      <c r="B271" t="s">
        <v>72</v>
      </c>
      <c r="C271" s="1">
        <v>44112</v>
      </c>
      <c r="D271" s="1">
        <v>44433</v>
      </c>
      <c r="E271">
        <v>113643</v>
      </c>
    </row>
    <row r="272" spans="1:7" x14ac:dyDescent="0.25">
      <c r="A272">
        <v>4012</v>
      </c>
      <c r="B272" t="s">
        <v>72</v>
      </c>
      <c r="C272" s="1">
        <v>44434</v>
      </c>
      <c r="D272" s="1">
        <v>44826</v>
      </c>
      <c r="E272">
        <v>113557</v>
      </c>
      <c r="F272">
        <v>56549</v>
      </c>
      <c r="G272">
        <v>57008</v>
      </c>
    </row>
    <row r="273" spans="1:7" x14ac:dyDescent="0.25">
      <c r="A273">
        <v>4012</v>
      </c>
      <c r="B273" t="s">
        <v>72</v>
      </c>
      <c r="C273" s="1">
        <v>44827</v>
      </c>
      <c r="D273" s="1">
        <v>117974</v>
      </c>
      <c r="E273">
        <v>113173</v>
      </c>
      <c r="F273">
        <v>56234</v>
      </c>
      <c r="G273">
        <v>56939</v>
      </c>
    </row>
    <row r="274" spans="1:7" x14ac:dyDescent="0.25">
      <c r="A274">
        <v>5</v>
      </c>
      <c r="B274" t="s">
        <v>73</v>
      </c>
      <c r="C274" s="1">
        <v>43831</v>
      </c>
      <c r="D274" s="1">
        <v>44111</v>
      </c>
      <c r="E274">
        <v>17932651</v>
      </c>
    </row>
    <row r="275" spans="1:7" x14ac:dyDescent="0.25">
      <c r="A275">
        <v>5</v>
      </c>
      <c r="B275" t="s">
        <v>73</v>
      </c>
      <c r="C275" s="1">
        <v>44112</v>
      </c>
      <c r="D275" s="1">
        <v>44433</v>
      </c>
      <c r="E275">
        <v>17947221</v>
      </c>
    </row>
    <row r="276" spans="1:7" x14ac:dyDescent="0.25">
      <c r="A276">
        <v>5</v>
      </c>
      <c r="B276" t="s">
        <v>73</v>
      </c>
      <c r="C276" s="1">
        <v>44434</v>
      </c>
      <c r="D276" s="1">
        <v>44826</v>
      </c>
      <c r="E276">
        <v>17925570</v>
      </c>
      <c r="F276">
        <v>8794888</v>
      </c>
      <c r="G276">
        <v>9130682</v>
      </c>
    </row>
    <row r="277" spans="1:7" x14ac:dyDescent="0.25">
      <c r="A277">
        <v>5</v>
      </c>
      <c r="B277" t="s">
        <v>73</v>
      </c>
      <c r="C277" s="1">
        <v>44827</v>
      </c>
      <c r="D277" s="1">
        <v>117974</v>
      </c>
      <c r="E277">
        <v>17924591</v>
      </c>
      <c r="F277">
        <v>8795533</v>
      </c>
      <c r="G277">
        <v>9129058</v>
      </c>
    </row>
    <row r="278" spans="1:7" x14ac:dyDescent="0.25">
      <c r="A278">
        <v>5111</v>
      </c>
      <c r="B278" t="s">
        <v>74</v>
      </c>
      <c r="C278" s="1">
        <v>43831</v>
      </c>
      <c r="D278" s="1">
        <v>44111</v>
      </c>
      <c r="E278">
        <v>619294</v>
      </c>
    </row>
    <row r="279" spans="1:7" x14ac:dyDescent="0.25">
      <c r="A279">
        <v>5111</v>
      </c>
      <c r="B279" t="s">
        <v>74</v>
      </c>
      <c r="C279" s="1">
        <v>44112</v>
      </c>
      <c r="D279" s="1">
        <v>44433</v>
      </c>
      <c r="E279">
        <v>621877</v>
      </c>
    </row>
    <row r="280" spans="1:7" x14ac:dyDescent="0.25">
      <c r="A280">
        <v>5111</v>
      </c>
      <c r="B280" t="s">
        <v>74</v>
      </c>
      <c r="C280" s="1">
        <v>44434</v>
      </c>
      <c r="D280" s="1">
        <v>44826</v>
      </c>
      <c r="E280">
        <v>620523</v>
      </c>
      <c r="F280">
        <v>299975</v>
      </c>
      <c r="G280">
        <v>320548</v>
      </c>
    </row>
    <row r="281" spans="1:7" x14ac:dyDescent="0.25">
      <c r="A281">
        <v>5111</v>
      </c>
      <c r="B281" t="s">
        <v>74</v>
      </c>
      <c r="C281" s="1">
        <v>44827</v>
      </c>
      <c r="D281" s="1">
        <v>117974</v>
      </c>
      <c r="E281">
        <v>619477</v>
      </c>
      <c r="F281">
        <v>299583</v>
      </c>
      <c r="G281">
        <v>319894</v>
      </c>
    </row>
    <row r="282" spans="1:7" x14ac:dyDescent="0.25">
      <c r="A282">
        <v>5112</v>
      </c>
      <c r="B282" t="s">
        <v>75</v>
      </c>
      <c r="C282" s="1">
        <v>43831</v>
      </c>
      <c r="D282" s="1">
        <v>44111</v>
      </c>
      <c r="E282">
        <v>498590</v>
      </c>
    </row>
    <row r="283" spans="1:7" x14ac:dyDescent="0.25">
      <c r="A283">
        <v>5112</v>
      </c>
      <c r="B283" t="s">
        <v>75</v>
      </c>
      <c r="C283" s="1">
        <v>44112</v>
      </c>
      <c r="D283" s="1">
        <v>44433</v>
      </c>
      <c r="E283">
        <v>498686</v>
      </c>
    </row>
    <row r="284" spans="1:7" x14ac:dyDescent="0.25">
      <c r="A284">
        <v>5112</v>
      </c>
      <c r="B284" t="s">
        <v>75</v>
      </c>
      <c r="C284" s="1">
        <v>44434</v>
      </c>
      <c r="D284" s="1">
        <v>44826</v>
      </c>
      <c r="E284">
        <v>495885</v>
      </c>
      <c r="F284">
        <v>245244</v>
      </c>
      <c r="G284">
        <v>250641</v>
      </c>
    </row>
    <row r="285" spans="1:7" x14ac:dyDescent="0.25">
      <c r="A285">
        <v>5112</v>
      </c>
      <c r="B285" t="s">
        <v>75</v>
      </c>
      <c r="C285" s="1">
        <v>44827</v>
      </c>
      <c r="D285" s="1">
        <v>117974</v>
      </c>
      <c r="E285">
        <v>495152</v>
      </c>
      <c r="F285">
        <v>244716</v>
      </c>
      <c r="G285">
        <v>250436</v>
      </c>
    </row>
    <row r="286" spans="1:7" x14ac:dyDescent="0.25">
      <c r="A286">
        <v>5113</v>
      </c>
      <c r="B286" t="s">
        <v>76</v>
      </c>
      <c r="C286" s="1">
        <v>43831</v>
      </c>
      <c r="D286" s="1">
        <v>44111</v>
      </c>
      <c r="E286">
        <v>583109</v>
      </c>
    </row>
    <row r="287" spans="1:7" x14ac:dyDescent="0.25">
      <c r="A287">
        <v>5113</v>
      </c>
      <c r="B287" t="s">
        <v>76</v>
      </c>
      <c r="C287" s="1">
        <v>44112</v>
      </c>
      <c r="D287" s="1">
        <v>44433</v>
      </c>
      <c r="E287">
        <v>582760</v>
      </c>
    </row>
    <row r="288" spans="1:7" x14ac:dyDescent="0.25">
      <c r="A288">
        <v>5113</v>
      </c>
      <c r="B288" t="s">
        <v>76</v>
      </c>
      <c r="C288" s="1">
        <v>44434</v>
      </c>
      <c r="D288" s="1">
        <v>44826</v>
      </c>
      <c r="E288">
        <v>582415</v>
      </c>
      <c r="F288">
        <v>283169</v>
      </c>
      <c r="G288">
        <v>299246</v>
      </c>
    </row>
    <row r="289" spans="1:7" x14ac:dyDescent="0.25">
      <c r="A289">
        <v>5113</v>
      </c>
      <c r="B289" t="s">
        <v>76</v>
      </c>
      <c r="C289" s="1">
        <v>44827</v>
      </c>
      <c r="D289" s="1">
        <v>117974</v>
      </c>
      <c r="E289">
        <v>579432</v>
      </c>
      <c r="F289">
        <v>281991</v>
      </c>
      <c r="G289">
        <v>297441</v>
      </c>
    </row>
    <row r="290" spans="1:7" x14ac:dyDescent="0.25">
      <c r="A290">
        <v>5114</v>
      </c>
      <c r="B290" t="s">
        <v>77</v>
      </c>
      <c r="C290" s="1">
        <v>43831</v>
      </c>
      <c r="D290" s="1">
        <v>44111</v>
      </c>
      <c r="E290">
        <v>227020</v>
      </c>
    </row>
    <row r="291" spans="1:7" x14ac:dyDescent="0.25">
      <c r="A291">
        <v>5114</v>
      </c>
      <c r="B291" t="s">
        <v>77</v>
      </c>
      <c r="C291" s="1">
        <v>44112</v>
      </c>
      <c r="D291" s="1">
        <v>44433</v>
      </c>
      <c r="E291">
        <v>227417</v>
      </c>
    </row>
    <row r="292" spans="1:7" x14ac:dyDescent="0.25">
      <c r="A292">
        <v>5114</v>
      </c>
      <c r="B292" t="s">
        <v>77</v>
      </c>
      <c r="C292" s="1">
        <v>44434</v>
      </c>
      <c r="D292" s="1">
        <v>44826</v>
      </c>
      <c r="E292">
        <v>226844</v>
      </c>
      <c r="F292">
        <v>110704</v>
      </c>
      <c r="G292">
        <v>116140</v>
      </c>
    </row>
    <row r="293" spans="1:7" x14ac:dyDescent="0.25">
      <c r="A293">
        <v>5114</v>
      </c>
      <c r="B293" t="s">
        <v>77</v>
      </c>
      <c r="C293" s="1">
        <v>44827</v>
      </c>
      <c r="D293" s="1">
        <v>117974</v>
      </c>
      <c r="E293">
        <v>227050</v>
      </c>
      <c r="F293">
        <v>110842</v>
      </c>
      <c r="G293">
        <v>116208</v>
      </c>
    </row>
    <row r="294" spans="1:7" x14ac:dyDescent="0.25">
      <c r="A294">
        <v>5116</v>
      </c>
      <c r="B294" t="s">
        <v>78</v>
      </c>
      <c r="C294" s="1">
        <v>43831</v>
      </c>
      <c r="D294" s="1">
        <v>44111</v>
      </c>
      <c r="E294">
        <v>261454</v>
      </c>
    </row>
    <row r="295" spans="1:7" x14ac:dyDescent="0.25">
      <c r="A295">
        <v>5116</v>
      </c>
      <c r="B295" t="s">
        <v>78</v>
      </c>
      <c r="C295" s="1">
        <v>44112</v>
      </c>
      <c r="D295" s="1">
        <v>44433</v>
      </c>
      <c r="E295">
        <v>261034</v>
      </c>
    </row>
    <row r="296" spans="1:7" x14ac:dyDescent="0.25">
      <c r="A296">
        <v>5116</v>
      </c>
      <c r="B296" t="s">
        <v>78</v>
      </c>
      <c r="C296" s="1">
        <v>44434</v>
      </c>
      <c r="D296" s="1">
        <v>44826</v>
      </c>
      <c r="E296">
        <v>259665</v>
      </c>
      <c r="F296">
        <v>127911</v>
      </c>
      <c r="G296">
        <v>131754</v>
      </c>
    </row>
    <row r="297" spans="1:7" x14ac:dyDescent="0.25">
      <c r="A297">
        <v>5116</v>
      </c>
      <c r="B297" t="s">
        <v>78</v>
      </c>
      <c r="C297" s="1">
        <v>44827</v>
      </c>
      <c r="D297" s="1">
        <v>117974</v>
      </c>
      <c r="E297">
        <v>261001</v>
      </c>
      <c r="F297">
        <v>128999</v>
      </c>
      <c r="G297">
        <v>132002</v>
      </c>
    </row>
    <row r="298" spans="1:7" x14ac:dyDescent="0.25">
      <c r="A298">
        <v>5117</v>
      </c>
      <c r="B298" t="s">
        <v>79</v>
      </c>
      <c r="C298" s="1">
        <v>43831</v>
      </c>
      <c r="D298" s="1">
        <v>44111</v>
      </c>
      <c r="E298">
        <v>170880</v>
      </c>
    </row>
    <row r="299" spans="1:7" x14ac:dyDescent="0.25">
      <c r="A299">
        <v>5117</v>
      </c>
      <c r="B299" t="s">
        <v>79</v>
      </c>
      <c r="C299" s="1">
        <v>44112</v>
      </c>
      <c r="D299" s="1">
        <v>44433</v>
      </c>
      <c r="E299">
        <v>170632</v>
      </c>
    </row>
    <row r="300" spans="1:7" x14ac:dyDescent="0.25">
      <c r="A300">
        <v>5117</v>
      </c>
      <c r="B300" t="s">
        <v>79</v>
      </c>
      <c r="C300" s="1">
        <v>44434</v>
      </c>
      <c r="D300" s="1">
        <v>44826</v>
      </c>
      <c r="E300">
        <v>170921</v>
      </c>
      <c r="F300">
        <v>82409</v>
      </c>
      <c r="G300">
        <v>88512</v>
      </c>
    </row>
    <row r="301" spans="1:7" x14ac:dyDescent="0.25">
      <c r="A301">
        <v>5117</v>
      </c>
      <c r="B301" t="s">
        <v>79</v>
      </c>
      <c r="C301" s="1">
        <v>44827</v>
      </c>
      <c r="D301" s="1">
        <v>117974</v>
      </c>
      <c r="E301">
        <v>170739</v>
      </c>
      <c r="F301">
        <v>82415</v>
      </c>
      <c r="G301">
        <v>88324</v>
      </c>
    </row>
    <row r="302" spans="1:7" x14ac:dyDescent="0.25">
      <c r="A302">
        <v>5119</v>
      </c>
      <c r="B302" t="s">
        <v>80</v>
      </c>
      <c r="C302" s="1">
        <v>43831</v>
      </c>
      <c r="D302" s="1">
        <v>44111</v>
      </c>
      <c r="E302">
        <v>210829</v>
      </c>
    </row>
    <row r="303" spans="1:7" x14ac:dyDescent="0.25">
      <c r="A303">
        <v>5119</v>
      </c>
      <c r="B303" t="s">
        <v>80</v>
      </c>
      <c r="C303" s="1">
        <v>44112</v>
      </c>
      <c r="D303" s="1">
        <v>44433</v>
      </c>
      <c r="E303">
        <v>210764</v>
      </c>
    </row>
    <row r="304" spans="1:7" x14ac:dyDescent="0.25">
      <c r="A304">
        <v>5119</v>
      </c>
      <c r="B304" t="s">
        <v>80</v>
      </c>
      <c r="C304" s="1">
        <v>44434</v>
      </c>
      <c r="D304" s="1">
        <v>44826</v>
      </c>
      <c r="E304">
        <v>209566</v>
      </c>
      <c r="F304">
        <v>102819</v>
      </c>
      <c r="G304">
        <v>106747</v>
      </c>
    </row>
    <row r="305" spans="1:7" x14ac:dyDescent="0.25">
      <c r="A305">
        <v>5119</v>
      </c>
      <c r="B305" t="s">
        <v>80</v>
      </c>
      <c r="C305" s="1">
        <v>44827</v>
      </c>
      <c r="D305" s="1">
        <v>117974</v>
      </c>
      <c r="E305">
        <v>208752</v>
      </c>
      <c r="F305">
        <v>102310</v>
      </c>
      <c r="G305">
        <v>106442</v>
      </c>
    </row>
    <row r="306" spans="1:7" x14ac:dyDescent="0.25">
      <c r="A306">
        <v>5120</v>
      </c>
      <c r="B306" t="s">
        <v>81</v>
      </c>
      <c r="C306" s="1">
        <v>43831</v>
      </c>
      <c r="D306" s="1">
        <v>44111</v>
      </c>
      <c r="E306">
        <v>110994</v>
      </c>
    </row>
    <row r="307" spans="1:7" x14ac:dyDescent="0.25">
      <c r="A307">
        <v>5120</v>
      </c>
      <c r="B307" t="s">
        <v>81</v>
      </c>
      <c r="C307" s="1">
        <v>44112</v>
      </c>
      <c r="D307" s="1">
        <v>44433</v>
      </c>
      <c r="E307">
        <v>111338</v>
      </c>
    </row>
    <row r="308" spans="1:7" x14ac:dyDescent="0.25">
      <c r="A308">
        <v>5120</v>
      </c>
      <c r="B308" t="s">
        <v>81</v>
      </c>
      <c r="C308" s="1">
        <v>44434</v>
      </c>
      <c r="D308" s="1">
        <v>44826</v>
      </c>
      <c r="E308">
        <v>111516</v>
      </c>
      <c r="F308">
        <v>55161</v>
      </c>
      <c r="G308">
        <v>56355</v>
      </c>
    </row>
    <row r="309" spans="1:7" x14ac:dyDescent="0.25">
      <c r="A309">
        <v>5120</v>
      </c>
      <c r="B309" t="s">
        <v>81</v>
      </c>
      <c r="C309" s="1">
        <v>44827</v>
      </c>
      <c r="D309" s="1">
        <v>117974</v>
      </c>
      <c r="E309">
        <v>111770</v>
      </c>
      <c r="F309">
        <v>55418</v>
      </c>
      <c r="G309">
        <v>56352</v>
      </c>
    </row>
    <row r="310" spans="1:7" x14ac:dyDescent="0.25">
      <c r="A310">
        <v>5122</v>
      </c>
      <c r="B310" t="s">
        <v>82</v>
      </c>
      <c r="C310" s="1">
        <v>43831</v>
      </c>
      <c r="D310" s="1">
        <v>44111</v>
      </c>
      <c r="E310">
        <v>159360</v>
      </c>
    </row>
    <row r="311" spans="1:7" x14ac:dyDescent="0.25">
      <c r="A311">
        <v>5122</v>
      </c>
      <c r="B311" t="s">
        <v>82</v>
      </c>
      <c r="C311" s="1">
        <v>44112</v>
      </c>
      <c r="D311" s="1">
        <v>44433</v>
      </c>
      <c r="E311">
        <v>159245</v>
      </c>
    </row>
    <row r="312" spans="1:7" x14ac:dyDescent="0.25">
      <c r="A312">
        <v>5122</v>
      </c>
      <c r="B312" t="s">
        <v>82</v>
      </c>
      <c r="C312" s="1">
        <v>44434</v>
      </c>
      <c r="D312" s="1">
        <v>44826</v>
      </c>
      <c r="E312">
        <v>159193</v>
      </c>
      <c r="F312">
        <v>77284</v>
      </c>
      <c r="G312">
        <v>81909</v>
      </c>
    </row>
    <row r="313" spans="1:7" x14ac:dyDescent="0.25">
      <c r="A313">
        <v>5122</v>
      </c>
      <c r="B313" t="s">
        <v>82</v>
      </c>
      <c r="C313" s="1">
        <v>44827</v>
      </c>
      <c r="D313" s="1">
        <v>117974</v>
      </c>
      <c r="E313">
        <v>158957</v>
      </c>
      <c r="F313">
        <v>77260</v>
      </c>
      <c r="G313">
        <v>81697</v>
      </c>
    </row>
    <row r="314" spans="1:7" x14ac:dyDescent="0.25">
      <c r="A314">
        <v>5124</v>
      </c>
      <c r="B314" t="s">
        <v>83</v>
      </c>
      <c r="C314" s="1">
        <v>43831</v>
      </c>
      <c r="D314" s="1">
        <v>44111</v>
      </c>
      <c r="E314">
        <v>354382</v>
      </c>
    </row>
    <row r="315" spans="1:7" x14ac:dyDescent="0.25">
      <c r="A315">
        <v>5124</v>
      </c>
      <c r="B315" t="s">
        <v>83</v>
      </c>
      <c r="C315" s="1">
        <v>44112</v>
      </c>
      <c r="D315" s="1">
        <v>44433</v>
      </c>
      <c r="E315">
        <v>355100</v>
      </c>
    </row>
    <row r="316" spans="1:7" x14ac:dyDescent="0.25">
      <c r="A316">
        <v>5124</v>
      </c>
      <c r="B316" t="s">
        <v>83</v>
      </c>
      <c r="C316" s="1">
        <v>44434</v>
      </c>
      <c r="D316" s="1">
        <v>44826</v>
      </c>
      <c r="E316">
        <v>355004</v>
      </c>
      <c r="F316">
        <v>174191</v>
      </c>
      <c r="G316">
        <v>180813</v>
      </c>
    </row>
    <row r="317" spans="1:7" x14ac:dyDescent="0.25">
      <c r="A317">
        <v>5124</v>
      </c>
      <c r="B317" t="s">
        <v>83</v>
      </c>
      <c r="C317" s="1">
        <v>44827</v>
      </c>
      <c r="D317" s="1">
        <v>117974</v>
      </c>
      <c r="E317">
        <v>354572</v>
      </c>
      <c r="F317">
        <v>174102</v>
      </c>
      <c r="G317">
        <v>180470</v>
      </c>
    </row>
    <row r="318" spans="1:7" x14ac:dyDescent="0.25">
      <c r="A318">
        <v>5154</v>
      </c>
      <c r="B318" t="s">
        <v>84</v>
      </c>
      <c r="C318" s="1">
        <v>43831</v>
      </c>
      <c r="D318" s="1">
        <v>44111</v>
      </c>
      <c r="E318">
        <v>310974</v>
      </c>
    </row>
    <row r="319" spans="1:7" x14ac:dyDescent="0.25">
      <c r="A319">
        <v>5154</v>
      </c>
      <c r="B319" t="s">
        <v>84</v>
      </c>
      <c r="C319" s="1">
        <v>44112</v>
      </c>
      <c r="D319" s="1">
        <v>44433</v>
      </c>
      <c r="E319">
        <v>312465</v>
      </c>
    </row>
    <row r="320" spans="1:7" x14ac:dyDescent="0.25">
      <c r="A320">
        <v>5154</v>
      </c>
      <c r="B320" t="s">
        <v>84</v>
      </c>
      <c r="C320" s="1">
        <v>44434</v>
      </c>
      <c r="D320" s="1">
        <v>44826</v>
      </c>
      <c r="E320">
        <v>313586</v>
      </c>
      <c r="F320">
        <v>156201</v>
      </c>
      <c r="G320">
        <v>157385</v>
      </c>
    </row>
    <row r="321" spans="1:7" x14ac:dyDescent="0.25">
      <c r="A321">
        <v>5154</v>
      </c>
      <c r="B321" t="s">
        <v>84</v>
      </c>
      <c r="C321" s="1">
        <v>44827</v>
      </c>
      <c r="D321" s="1">
        <v>117974</v>
      </c>
      <c r="E321">
        <v>314676</v>
      </c>
      <c r="F321">
        <v>156754</v>
      </c>
      <c r="G321">
        <v>157922</v>
      </c>
    </row>
    <row r="322" spans="1:7" x14ac:dyDescent="0.25">
      <c r="A322">
        <v>5158</v>
      </c>
      <c r="B322" t="s">
        <v>85</v>
      </c>
      <c r="C322" s="1">
        <v>43831</v>
      </c>
      <c r="D322" s="1">
        <v>44111</v>
      </c>
      <c r="E322">
        <v>485684</v>
      </c>
    </row>
    <row r="323" spans="1:7" x14ac:dyDescent="0.25">
      <c r="A323">
        <v>5158</v>
      </c>
      <c r="B323" t="s">
        <v>85</v>
      </c>
      <c r="C323" s="1">
        <v>44112</v>
      </c>
      <c r="D323" s="1">
        <v>44433</v>
      </c>
      <c r="E323">
        <v>485570</v>
      </c>
    </row>
    <row r="324" spans="1:7" x14ac:dyDescent="0.25">
      <c r="A324">
        <v>5158</v>
      </c>
      <c r="B324" t="s">
        <v>85</v>
      </c>
      <c r="C324" s="1">
        <v>44434</v>
      </c>
      <c r="D324" s="1">
        <v>44826</v>
      </c>
      <c r="E324">
        <v>484322</v>
      </c>
      <c r="F324">
        <v>233949</v>
      </c>
      <c r="G324">
        <v>250373</v>
      </c>
    </row>
    <row r="325" spans="1:7" x14ac:dyDescent="0.25">
      <c r="A325">
        <v>5158</v>
      </c>
      <c r="B325" t="s">
        <v>85</v>
      </c>
      <c r="C325" s="1">
        <v>44827</v>
      </c>
      <c r="D325" s="1">
        <v>117974</v>
      </c>
      <c r="E325">
        <v>484411</v>
      </c>
      <c r="F325">
        <v>233965</v>
      </c>
      <c r="G325">
        <v>250446</v>
      </c>
    </row>
    <row r="326" spans="1:7" x14ac:dyDescent="0.25">
      <c r="A326">
        <v>5162</v>
      </c>
      <c r="B326" t="s">
        <v>86</v>
      </c>
      <c r="C326" s="1">
        <v>43831</v>
      </c>
      <c r="D326" s="1">
        <v>44111</v>
      </c>
      <c r="E326">
        <v>451007</v>
      </c>
    </row>
    <row r="327" spans="1:7" x14ac:dyDescent="0.25">
      <c r="A327">
        <v>5162</v>
      </c>
      <c r="B327" t="s">
        <v>86</v>
      </c>
      <c r="C327" s="1">
        <v>44112</v>
      </c>
      <c r="D327" s="1">
        <v>44433</v>
      </c>
      <c r="E327">
        <v>451730</v>
      </c>
    </row>
    <row r="328" spans="1:7" x14ac:dyDescent="0.25">
      <c r="A328">
        <v>5162</v>
      </c>
      <c r="B328" t="s">
        <v>86</v>
      </c>
      <c r="C328" s="1">
        <v>44434</v>
      </c>
      <c r="D328" s="1">
        <v>44826</v>
      </c>
      <c r="E328">
        <v>452001</v>
      </c>
      <c r="F328">
        <v>219655</v>
      </c>
      <c r="G328">
        <v>232346</v>
      </c>
    </row>
    <row r="329" spans="1:7" x14ac:dyDescent="0.25">
      <c r="A329">
        <v>5162</v>
      </c>
      <c r="B329" t="s">
        <v>86</v>
      </c>
      <c r="C329" s="1">
        <v>44827</v>
      </c>
      <c r="D329" s="1">
        <v>117974</v>
      </c>
      <c r="E329">
        <v>452496</v>
      </c>
      <c r="F329">
        <v>219835</v>
      </c>
      <c r="G329">
        <v>232661</v>
      </c>
    </row>
    <row r="330" spans="1:7" x14ac:dyDescent="0.25">
      <c r="A330">
        <v>5166</v>
      </c>
      <c r="B330" t="s">
        <v>87</v>
      </c>
      <c r="C330" s="1">
        <v>43831</v>
      </c>
      <c r="D330" s="1">
        <v>44111</v>
      </c>
      <c r="E330">
        <v>298935</v>
      </c>
    </row>
    <row r="331" spans="1:7" x14ac:dyDescent="0.25">
      <c r="A331">
        <v>5166</v>
      </c>
      <c r="B331" t="s">
        <v>87</v>
      </c>
      <c r="C331" s="1">
        <v>44112</v>
      </c>
      <c r="D331" s="1">
        <v>44433</v>
      </c>
      <c r="E331">
        <v>298863</v>
      </c>
    </row>
    <row r="332" spans="1:7" x14ac:dyDescent="0.25">
      <c r="A332">
        <v>5166</v>
      </c>
      <c r="B332" t="s">
        <v>87</v>
      </c>
      <c r="C332" s="1">
        <v>44434</v>
      </c>
      <c r="D332" s="1">
        <v>44826</v>
      </c>
      <c r="E332">
        <v>298536</v>
      </c>
      <c r="F332">
        <v>145652</v>
      </c>
      <c r="G332">
        <v>152884</v>
      </c>
    </row>
    <row r="333" spans="1:7" x14ac:dyDescent="0.25">
      <c r="A333">
        <v>5166</v>
      </c>
      <c r="B333" t="s">
        <v>87</v>
      </c>
      <c r="C333" s="1">
        <v>44827</v>
      </c>
      <c r="D333" s="1">
        <v>117974</v>
      </c>
      <c r="E333">
        <v>298761</v>
      </c>
      <c r="F333">
        <v>145746</v>
      </c>
      <c r="G333">
        <v>153015</v>
      </c>
    </row>
    <row r="334" spans="1:7" x14ac:dyDescent="0.25">
      <c r="A334">
        <v>5170</v>
      </c>
      <c r="B334" t="s">
        <v>88</v>
      </c>
      <c r="C334" s="1">
        <v>43831</v>
      </c>
      <c r="D334" s="1">
        <v>44111</v>
      </c>
      <c r="E334">
        <v>459809</v>
      </c>
    </row>
    <row r="335" spans="1:7" x14ac:dyDescent="0.25">
      <c r="A335">
        <v>5170</v>
      </c>
      <c r="B335" t="s">
        <v>88</v>
      </c>
      <c r="C335" s="1">
        <v>44112</v>
      </c>
      <c r="D335" s="1">
        <v>44433</v>
      </c>
      <c r="E335">
        <v>459976</v>
      </c>
    </row>
    <row r="336" spans="1:7" x14ac:dyDescent="0.25">
      <c r="A336">
        <v>5170</v>
      </c>
      <c r="B336" t="s">
        <v>88</v>
      </c>
      <c r="C336" s="1">
        <v>44434</v>
      </c>
      <c r="D336" s="1">
        <v>44826</v>
      </c>
      <c r="E336">
        <v>460113</v>
      </c>
      <c r="F336">
        <v>223910</v>
      </c>
      <c r="G336">
        <v>236203</v>
      </c>
    </row>
    <row r="337" spans="1:7" x14ac:dyDescent="0.25">
      <c r="A337">
        <v>5170</v>
      </c>
      <c r="B337" t="s">
        <v>88</v>
      </c>
      <c r="C337" s="1">
        <v>44827</v>
      </c>
      <c r="D337" s="1">
        <v>117974</v>
      </c>
      <c r="E337">
        <v>460433</v>
      </c>
      <c r="F337">
        <v>224189</v>
      </c>
      <c r="G337">
        <v>236244</v>
      </c>
    </row>
    <row r="338" spans="1:7" x14ac:dyDescent="0.25">
      <c r="A338">
        <v>5314</v>
      </c>
      <c r="B338" t="s">
        <v>89</v>
      </c>
      <c r="C338" s="1">
        <v>43831</v>
      </c>
      <c r="D338" s="1">
        <v>44111</v>
      </c>
      <c r="E338">
        <v>327258</v>
      </c>
    </row>
    <row r="339" spans="1:7" x14ac:dyDescent="0.25">
      <c r="A339">
        <v>5314</v>
      </c>
      <c r="B339" t="s">
        <v>89</v>
      </c>
      <c r="C339" s="1">
        <v>44112</v>
      </c>
      <c r="D339" s="1">
        <v>44433</v>
      </c>
      <c r="E339">
        <v>329673</v>
      </c>
    </row>
    <row r="340" spans="1:7" x14ac:dyDescent="0.25">
      <c r="A340">
        <v>5314</v>
      </c>
      <c r="B340" t="s">
        <v>89</v>
      </c>
      <c r="C340" s="1">
        <v>44434</v>
      </c>
      <c r="D340" s="1">
        <v>44826</v>
      </c>
      <c r="E340">
        <v>330579</v>
      </c>
      <c r="F340">
        <v>158190</v>
      </c>
      <c r="G340">
        <v>172389</v>
      </c>
    </row>
    <row r="341" spans="1:7" x14ac:dyDescent="0.25">
      <c r="A341">
        <v>5314</v>
      </c>
      <c r="B341" t="s">
        <v>89</v>
      </c>
      <c r="C341" s="1">
        <v>44827</v>
      </c>
      <c r="D341" s="1">
        <v>117974</v>
      </c>
      <c r="E341">
        <v>331885</v>
      </c>
      <c r="F341">
        <v>158645</v>
      </c>
      <c r="G341">
        <v>173240</v>
      </c>
    </row>
    <row r="342" spans="1:7" x14ac:dyDescent="0.25">
      <c r="A342">
        <v>5315</v>
      </c>
      <c r="B342" t="s">
        <v>90</v>
      </c>
      <c r="C342" s="1">
        <v>43831</v>
      </c>
      <c r="D342" s="1">
        <v>44111</v>
      </c>
      <c r="E342">
        <v>1085664</v>
      </c>
    </row>
    <row r="343" spans="1:7" x14ac:dyDescent="0.25">
      <c r="A343">
        <v>5315</v>
      </c>
      <c r="B343" t="s">
        <v>90</v>
      </c>
      <c r="C343" s="1">
        <v>44112</v>
      </c>
      <c r="D343" s="1">
        <v>44433</v>
      </c>
      <c r="E343">
        <v>1087863</v>
      </c>
    </row>
    <row r="344" spans="1:7" x14ac:dyDescent="0.25">
      <c r="A344">
        <v>5315</v>
      </c>
      <c r="B344" t="s">
        <v>90</v>
      </c>
      <c r="C344" s="1">
        <v>44434</v>
      </c>
      <c r="D344" s="1">
        <v>44826</v>
      </c>
      <c r="E344">
        <v>1083498</v>
      </c>
      <c r="F344">
        <v>528075</v>
      </c>
      <c r="G344">
        <v>555423</v>
      </c>
    </row>
    <row r="345" spans="1:7" x14ac:dyDescent="0.25">
      <c r="A345">
        <v>5315</v>
      </c>
      <c r="B345" t="s">
        <v>90</v>
      </c>
      <c r="C345" s="1">
        <v>44827</v>
      </c>
      <c r="D345" s="1">
        <v>117974</v>
      </c>
      <c r="E345">
        <v>1073096</v>
      </c>
      <c r="F345">
        <v>521939</v>
      </c>
      <c r="G345">
        <v>551157</v>
      </c>
    </row>
    <row r="346" spans="1:7" x14ac:dyDescent="0.25">
      <c r="A346">
        <v>5316</v>
      </c>
      <c r="B346" t="s">
        <v>91</v>
      </c>
      <c r="C346" s="1">
        <v>43831</v>
      </c>
      <c r="D346" s="1">
        <v>44111</v>
      </c>
      <c r="E346">
        <v>163838</v>
      </c>
    </row>
    <row r="347" spans="1:7" x14ac:dyDescent="0.25">
      <c r="A347">
        <v>5316</v>
      </c>
      <c r="B347" t="s">
        <v>91</v>
      </c>
      <c r="C347" s="1">
        <v>44112</v>
      </c>
      <c r="D347" s="1">
        <v>44433</v>
      </c>
      <c r="E347">
        <v>163729</v>
      </c>
    </row>
    <row r="348" spans="1:7" x14ac:dyDescent="0.25">
      <c r="A348">
        <v>5316</v>
      </c>
      <c r="B348" t="s">
        <v>91</v>
      </c>
      <c r="C348" s="1">
        <v>44434</v>
      </c>
      <c r="D348" s="1">
        <v>44826</v>
      </c>
      <c r="E348">
        <v>163905</v>
      </c>
      <c r="F348">
        <v>79839</v>
      </c>
      <c r="G348">
        <v>84066</v>
      </c>
    </row>
    <row r="349" spans="1:7" x14ac:dyDescent="0.25">
      <c r="A349">
        <v>5316</v>
      </c>
      <c r="B349" t="s">
        <v>91</v>
      </c>
      <c r="C349" s="1">
        <v>44827</v>
      </c>
      <c r="D349" s="1">
        <v>117974</v>
      </c>
      <c r="E349">
        <v>163851</v>
      </c>
      <c r="F349">
        <v>79886</v>
      </c>
      <c r="G349">
        <v>83965</v>
      </c>
    </row>
    <row r="350" spans="1:7" x14ac:dyDescent="0.25">
      <c r="A350">
        <v>5334</v>
      </c>
      <c r="B350" t="s">
        <v>92</v>
      </c>
      <c r="C350" s="1">
        <v>43831</v>
      </c>
      <c r="D350" s="1">
        <v>44111</v>
      </c>
      <c r="E350">
        <v>555465</v>
      </c>
    </row>
    <row r="351" spans="1:7" x14ac:dyDescent="0.25">
      <c r="A351">
        <v>5334</v>
      </c>
      <c r="B351" t="s">
        <v>92</v>
      </c>
      <c r="C351" s="1">
        <v>44112</v>
      </c>
      <c r="D351" s="1">
        <v>44433</v>
      </c>
      <c r="E351">
        <v>557026</v>
      </c>
    </row>
    <row r="352" spans="1:7" x14ac:dyDescent="0.25">
      <c r="A352">
        <v>5334</v>
      </c>
      <c r="B352" t="s">
        <v>92</v>
      </c>
      <c r="C352" s="1">
        <v>44434</v>
      </c>
      <c r="D352" s="1">
        <v>44826</v>
      </c>
      <c r="E352">
        <v>556631</v>
      </c>
      <c r="F352">
        <v>281103</v>
      </c>
      <c r="G352">
        <v>275528</v>
      </c>
    </row>
    <row r="353" spans="1:7" x14ac:dyDescent="0.25">
      <c r="A353">
        <v>5334</v>
      </c>
      <c r="B353" t="s">
        <v>92</v>
      </c>
      <c r="C353" s="1">
        <v>44827</v>
      </c>
      <c r="D353" s="1">
        <v>117974</v>
      </c>
      <c r="E353">
        <v>556673</v>
      </c>
      <c r="F353">
        <v>281248</v>
      </c>
      <c r="G353">
        <v>275425</v>
      </c>
    </row>
    <row r="354" spans="1:7" x14ac:dyDescent="0.25">
      <c r="A354">
        <v>5358</v>
      </c>
      <c r="B354" t="s">
        <v>93</v>
      </c>
      <c r="C354" s="1">
        <v>43831</v>
      </c>
      <c r="D354" s="1">
        <v>44111</v>
      </c>
      <c r="E354">
        <v>263722</v>
      </c>
    </row>
    <row r="355" spans="1:7" x14ac:dyDescent="0.25">
      <c r="A355">
        <v>5358</v>
      </c>
      <c r="B355" t="s">
        <v>93</v>
      </c>
      <c r="C355" s="1">
        <v>44112</v>
      </c>
      <c r="D355" s="1">
        <v>44433</v>
      </c>
      <c r="E355">
        <v>264638</v>
      </c>
    </row>
    <row r="356" spans="1:7" x14ac:dyDescent="0.25">
      <c r="A356">
        <v>5358</v>
      </c>
      <c r="B356" t="s">
        <v>93</v>
      </c>
      <c r="C356" s="1">
        <v>44434</v>
      </c>
      <c r="D356" s="1">
        <v>44826</v>
      </c>
      <c r="E356">
        <v>265140</v>
      </c>
      <c r="F356">
        <v>131459</v>
      </c>
      <c r="G356">
        <v>133681</v>
      </c>
    </row>
    <row r="357" spans="1:7" x14ac:dyDescent="0.25">
      <c r="A357">
        <v>5358</v>
      </c>
      <c r="B357" t="s">
        <v>93</v>
      </c>
      <c r="C357" s="1">
        <v>44827</v>
      </c>
      <c r="D357" s="1">
        <v>117974</v>
      </c>
      <c r="E357">
        <v>266771</v>
      </c>
      <c r="F357">
        <v>132191</v>
      </c>
      <c r="G357">
        <v>134580</v>
      </c>
    </row>
    <row r="358" spans="1:7" x14ac:dyDescent="0.25">
      <c r="A358">
        <v>5362</v>
      </c>
      <c r="B358" t="s">
        <v>94</v>
      </c>
      <c r="C358" s="1">
        <v>43831</v>
      </c>
      <c r="D358" s="1">
        <v>44111</v>
      </c>
      <c r="E358">
        <v>470089</v>
      </c>
    </row>
    <row r="359" spans="1:7" x14ac:dyDescent="0.25">
      <c r="A359">
        <v>5362</v>
      </c>
      <c r="B359" t="s">
        <v>94</v>
      </c>
      <c r="C359" s="1">
        <v>44112</v>
      </c>
      <c r="D359" s="1">
        <v>44433</v>
      </c>
      <c r="E359">
        <v>470615</v>
      </c>
    </row>
    <row r="360" spans="1:7" x14ac:dyDescent="0.25">
      <c r="A360">
        <v>5362</v>
      </c>
      <c r="B360" t="s">
        <v>94</v>
      </c>
      <c r="C360" s="1">
        <v>44434</v>
      </c>
      <c r="D360" s="1">
        <v>44826</v>
      </c>
      <c r="E360">
        <v>469611</v>
      </c>
      <c r="F360">
        <v>228942</v>
      </c>
      <c r="G360">
        <v>240669</v>
      </c>
    </row>
    <row r="361" spans="1:7" x14ac:dyDescent="0.25">
      <c r="A361">
        <v>5362</v>
      </c>
      <c r="B361" t="s">
        <v>94</v>
      </c>
      <c r="C361" s="1">
        <v>44827</v>
      </c>
      <c r="D361" s="1">
        <v>117974</v>
      </c>
      <c r="E361">
        <v>471891</v>
      </c>
      <c r="F361">
        <v>230041</v>
      </c>
      <c r="G361">
        <v>241850</v>
      </c>
    </row>
    <row r="362" spans="1:7" x14ac:dyDescent="0.25">
      <c r="A362">
        <v>5366</v>
      </c>
      <c r="B362" t="s">
        <v>95</v>
      </c>
      <c r="C362" s="1">
        <v>43831</v>
      </c>
      <c r="D362" s="1">
        <v>44111</v>
      </c>
      <c r="E362">
        <v>192840</v>
      </c>
    </row>
    <row r="363" spans="1:7" x14ac:dyDescent="0.25">
      <c r="A363">
        <v>5366</v>
      </c>
      <c r="B363" t="s">
        <v>95</v>
      </c>
      <c r="C363" s="1">
        <v>44112</v>
      </c>
      <c r="D363" s="1">
        <v>44433</v>
      </c>
      <c r="E363">
        <v>193656</v>
      </c>
    </row>
    <row r="364" spans="1:7" x14ac:dyDescent="0.25">
      <c r="A364">
        <v>5366</v>
      </c>
      <c r="B364" t="s">
        <v>95</v>
      </c>
      <c r="C364" s="1">
        <v>44434</v>
      </c>
      <c r="D364" s="1">
        <v>44826</v>
      </c>
      <c r="E364">
        <v>194359</v>
      </c>
      <c r="F364">
        <v>95938</v>
      </c>
      <c r="G364">
        <v>98421</v>
      </c>
    </row>
    <row r="365" spans="1:7" x14ac:dyDescent="0.25">
      <c r="A365">
        <v>5366</v>
      </c>
      <c r="B365" t="s">
        <v>95</v>
      </c>
      <c r="C365" s="1">
        <v>44827</v>
      </c>
      <c r="D365" s="1">
        <v>117974</v>
      </c>
      <c r="E365">
        <v>194701</v>
      </c>
      <c r="F365">
        <v>96123</v>
      </c>
      <c r="G365">
        <v>98578</v>
      </c>
    </row>
    <row r="366" spans="1:7" x14ac:dyDescent="0.25">
      <c r="A366">
        <v>5370</v>
      </c>
      <c r="B366" t="s">
        <v>96</v>
      </c>
      <c r="C366" s="1">
        <v>43831</v>
      </c>
      <c r="D366" s="1">
        <v>44111</v>
      </c>
      <c r="E366">
        <v>254322</v>
      </c>
    </row>
    <row r="367" spans="1:7" x14ac:dyDescent="0.25">
      <c r="A367">
        <v>5370</v>
      </c>
      <c r="B367" t="s">
        <v>96</v>
      </c>
      <c r="C367" s="1">
        <v>44112</v>
      </c>
      <c r="D367" s="1">
        <v>44433</v>
      </c>
      <c r="E367">
        <v>255555</v>
      </c>
    </row>
    <row r="368" spans="1:7" x14ac:dyDescent="0.25">
      <c r="A368">
        <v>5370</v>
      </c>
      <c r="B368" t="s">
        <v>96</v>
      </c>
      <c r="C368" s="1">
        <v>44434</v>
      </c>
      <c r="D368" s="1">
        <v>44826</v>
      </c>
      <c r="E368">
        <v>256458</v>
      </c>
      <c r="F368">
        <v>126923</v>
      </c>
      <c r="G368">
        <v>129535</v>
      </c>
    </row>
    <row r="369" spans="1:7" x14ac:dyDescent="0.25">
      <c r="A369">
        <v>5370</v>
      </c>
      <c r="B369" t="s">
        <v>96</v>
      </c>
      <c r="C369" s="1">
        <v>44827</v>
      </c>
      <c r="D369" s="1">
        <v>117974</v>
      </c>
      <c r="E369">
        <v>258306</v>
      </c>
      <c r="F369">
        <v>127883</v>
      </c>
      <c r="G369">
        <v>130423</v>
      </c>
    </row>
    <row r="370" spans="1:7" x14ac:dyDescent="0.25">
      <c r="A370">
        <v>5374</v>
      </c>
      <c r="B370" t="s">
        <v>97</v>
      </c>
      <c r="C370" s="1">
        <v>43831</v>
      </c>
      <c r="D370" s="1">
        <v>44111</v>
      </c>
      <c r="E370">
        <v>272471</v>
      </c>
    </row>
    <row r="371" spans="1:7" x14ac:dyDescent="0.25">
      <c r="A371">
        <v>5374</v>
      </c>
      <c r="B371" t="s">
        <v>97</v>
      </c>
      <c r="C371" s="1">
        <v>44112</v>
      </c>
      <c r="D371" s="1">
        <v>44433</v>
      </c>
      <c r="E371">
        <v>272057</v>
      </c>
    </row>
    <row r="372" spans="1:7" x14ac:dyDescent="0.25">
      <c r="A372">
        <v>5374</v>
      </c>
      <c r="B372" t="s">
        <v>97</v>
      </c>
      <c r="C372" s="1">
        <v>44434</v>
      </c>
      <c r="D372" s="1">
        <v>44826</v>
      </c>
      <c r="E372">
        <v>271699</v>
      </c>
      <c r="F372">
        <v>133601</v>
      </c>
      <c r="G372">
        <v>138098</v>
      </c>
    </row>
    <row r="373" spans="1:7" x14ac:dyDescent="0.25">
      <c r="A373">
        <v>5374</v>
      </c>
      <c r="B373" t="s">
        <v>97</v>
      </c>
      <c r="C373" s="1">
        <v>44827</v>
      </c>
      <c r="D373" s="1">
        <v>117974</v>
      </c>
      <c r="E373">
        <v>271621</v>
      </c>
      <c r="F373">
        <v>133578</v>
      </c>
      <c r="G373">
        <v>138043</v>
      </c>
    </row>
    <row r="374" spans="1:7" x14ac:dyDescent="0.25">
      <c r="A374">
        <v>5378</v>
      </c>
      <c r="B374" t="s">
        <v>98</v>
      </c>
      <c r="C374" s="1">
        <v>43831</v>
      </c>
      <c r="D374" s="1">
        <v>44111</v>
      </c>
      <c r="E374">
        <v>283455</v>
      </c>
    </row>
    <row r="375" spans="1:7" x14ac:dyDescent="0.25">
      <c r="A375">
        <v>5378</v>
      </c>
      <c r="B375" t="s">
        <v>98</v>
      </c>
      <c r="C375" s="1">
        <v>44112</v>
      </c>
      <c r="D375" s="1">
        <v>44433</v>
      </c>
      <c r="E375">
        <v>283271</v>
      </c>
    </row>
    <row r="376" spans="1:7" x14ac:dyDescent="0.25">
      <c r="A376">
        <v>5378</v>
      </c>
      <c r="B376" t="s">
        <v>98</v>
      </c>
      <c r="C376" s="1">
        <v>44434</v>
      </c>
      <c r="D376" s="1">
        <v>44826</v>
      </c>
      <c r="E376">
        <v>283275</v>
      </c>
      <c r="F376">
        <v>137257</v>
      </c>
      <c r="G376">
        <v>146018</v>
      </c>
    </row>
    <row r="377" spans="1:7" x14ac:dyDescent="0.25">
      <c r="A377">
        <v>5378</v>
      </c>
      <c r="B377" t="s">
        <v>98</v>
      </c>
      <c r="C377" s="1">
        <v>44827</v>
      </c>
      <c r="D377" s="1">
        <v>117974</v>
      </c>
      <c r="E377">
        <v>283429</v>
      </c>
      <c r="F377">
        <v>137330</v>
      </c>
      <c r="G377">
        <v>146099</v>
      </c>
    </row>
    <row r="378" spans="1:7" x14ac:dyDescent="0.25">
      <c r="A378">
        <v>5382</v>
      </c>
      <c r="B378" t="s">
        <v>99</v>
      </c>
      <c r="C378" s="1">
        <v>43831</v>
      </c>
      <c r="D378" s="1">
        <v>44111</v>
      </c>
      <c r="E378">
        <v>599780</v>
      </c>
    </row>
    <row r="379" spans="1:7" x14ac:dyDescent="0.25">
      <c r="A379">
        <v>5382</v>
      </c>
      <c r="B379" t="s">
        <v>99</v>
      </c>
      <c r="C379" s="1">
        <v>44112</v>
      </c>
      <c r="D379" s="1">
        <v>44433</v>
      </c>
      <c r="E379">
        <v>600764</v>
      </c>
    </row>
    <row r="380" spans="1:7" x14ac:dyDescent="0.25">
      <c r="A380">
        <v>5382</v>
      </c>
      <c r="B380" t="s">
        <v>99</v>
      </c>
      <c r="C380" s="1">
        <v>44434</v>
      </c>
      <c r="D380" s="1">
        <v>44826</v>
      </c>
      <c r="E380">
        <v>600375</v>
      </c>
      <c r="F380">
        <v>294058</v>
      </c>
      <c r="G380">
        <v>306317</v>
      </c>
    </row>
    <row r="381" spans="1:7" x14ac:dyDescent="0.25">
      <c r="A381">
        <v>5382</v>
      </c>
      <c r="B381" t="s">
        <v>99</v>
      </c>
      <c r="C381" s="1">
        <v>44827</v>
      </c>
      <c r="D381" s="1">
        <v>117974</v>
      </c>
      <c r="E381">
        <v>600732</v>
      </c>
      <c r="F381">
        <v>294092</v>
      </c>
      <c r="G381">
        <v>306640</v>
      </c>
    </row>
    <row r="382" spans="1:7" x14ac:dyDescent="0.25">
      <c r="A382">
        <v>5512</v>
      </c>
      <c r="B382" t="s">
        <v>100</v>
      </c>
      <c r="C382" s="1">
        <v>43831</v>
      </c>
      <c r="D382" s="1">
        <v>44111</v>
      </c>
      <c r="E382">
        <v>117383</v>
      </c>
    </row>
    <row r="383" spans="1:7" x14ac:dyDescent="0.25">
      <c r="A383">
        <v>5512</v>
      </c>
      <c r="B383" t="s">
        <v>100</v>
      </c>
      <c r="C383" s="1">
        <v>44112</v>
      </c>
      <c r="D383" s="1">
        <v>44433</v>
      </c>
      <c r="E383">
        <v>117565</v>
      </c>
    </row>
    <row r="384" spans="1:7" x14ac:dyDescent="0.25">
      <c r="A384">
        <v>5512</v>
      </c>
      <c r="B384" t="s">
        <v>100</v>
      </c>
      <c r="C384" s="1">
        <v>44434</v>
      </c>
      <c r="D384" s="1">
        <v>44826</v>
      </c>
      <c r="E384">
        <v>117388</v>
      </c>
      <c r="F384">
        <v>57122</v>
      </c>
      <c r="G384">
        <v>60266</v>
      </c>
    </row>
    <row r="385" spans="1:7" x14ac:dyDescent="0.25">
      <c r="A385">
        <v>5512</v>
      </c>
      <c r="B385" t="s">
        <v>100</v>
      </c>
      <c r="C385" s="1">
        <v>44827</v>
      </c>
      <c r="D385" s="1">
        <v>117974</v>
      </c>
      <c r="E385">
        <v>117311</v>
      </c>
      <c r="F385">
        <v>57069</v>
      </c>
      <c r="G385">
        <v>60242</v>
      </c>
    </row>
    <row r="386" spans="1:7" x14ac:dyDescent="0.25">
      <c r="A386">
        <v>5513</v>
      </c>
      <c r="B386" t="s">
        <v>101</v>
      </c>
      <c r="C386" s="1">
        <v>43831</v>
      </c>
      <c r="D386" s="1">
        <v>44111</v>
      </c>
      <c r="E386">
        <v>260654</v>
      </c>
    </row>
    <row r="387" spans="1:7" x14ac:dyDescent="0.25">
      <c r="A387">
        <v>5513</v>
      </c>
      <c r="B387" t="s">
        <v>101</v>
      </c>
      <c r="C387" s="1">
        <v>44112</v>
      </c>
      <c r="D387" s="1">
        <v>44433</v>
      </c>
      <c r="E387">
        <v>259645</v>
      </c>
    </row>
    <row r="388" spans="1:7" x14ac:dyDescent="0.25">
      <c r="A388">
        <v>5513</v>
      </c>
      <c r="B388" t="s">
        <v>101</v>
      </c>
      <c r="C388" s="1">
        <v>44434</v>
      </c>
      <c r="D388" s="1">
        <v>44826</v>
      </c>
      <c r="E388">
        <v>259105</v>
      </c>
      <c r="F388">
        <v>128800</v>
      </c>
      <c r="G388">
        <v>130305</v>
      </c>
    </row>
    <row r="389" spans="1:7" x14ac:dyDescent="0.25">
      <c r="A389">
        <v>5513</v>
      </c>
      <c r="B389" t="s">
        <v>101</v>
      </c>
      <c r="C389" s="1">
        <v>44827</v>
      </c>
      <c r="D389" s="1">
        <v>117974</v>
      </c>
      <c r="E389">
        <v>260126</v>
      </c>
      <c r="F389">
        <v>129271</v>
      </c>
      <c r="G389">
        <v>130855</v>
      </c>
    </row>
    <row r="390" spans="1:7" x14ac:dyDescent="0.25">
      <c r="A390">
        <v>5515</v>
      </c>
      <c r="B390" t="s">
        <v>102</v>
      </c>
      <c r="C390" s="1">
        <v>43831</v>
      </c>
      <c r="D390" s="1">
        <v>44111</v>
      </c>
      <c r="E390">
        <v>314319</v>
      </c>
    </row>
    <row r="391" spans="1:7" x14ac:dyDescent="0.25">
      <c r="A391">
        <v>5515</v>
      </c>
      <c r="B391" t="s">
        <v>102</v>
      </c>
      <c r="C391" s="1">
        <v>44112</v>
      </c>
      <c r="D391" s="1">
        <v>44433</v>
      </c>
      <c r="E391">
        <v>315293</v>
      </c>
    </row>
    <row r="392" spans="1:7" x14ac:dyDescent="0.25">
      <c r="A392">
        <v>5515</v>
      </c>
      <c r="B392" t="s">
        <v>102</v>
      </c>
      <c r="C392" s="1">
        <v>44434</v>
      </c>
      <c r="D392" s="1">
        <v>44826</v>
      </c>
      <c r="E392">
        <v>316403</v>
      </c>
      <c r="F392">
        <v>152025</v>
      </c>
      <c r="G392">
        <v>164378</v>
      </c>
    </row>
    <row r="393" spans="1:7" x14ac:dyDescent="0.25">
      <c r="A393">
        <v>5515</v>
      </c>
      <c r="B393" t="s">
        <v>102</v>
      </c>
      <c r="C393" s="1">
        <v>44827</v>
      </c>
      <c r="D393" s="1">
        <v>117974</v>
      </c>
      <c r="E393">
        <v>317713</v>
      </c>
      <c r="F393">
        <v>152515</v>
      </c>
      <c r="G393">
        <v>165198</v>
      </c>
    </row>
    <row r="394" spans="1:7" x14ac:dyDescent="0.25">
      <c r="A394">
        <v>5554</v>
      </c>
      <c r="B394" t="s">
        <v>103</v>
      </c>
      <c r="C394" s="1">
        <v>43831</v>
      </c>
      <c r="D394" s="1">
        <v>44111</v>
      </c>
      <c r="E394">
        <v>370676</v>
      </c>
    </row>
    <row r="395" spans="1:7" x14ac:dyDescent="0.25">
      <c r="A395">
        <v>5554</v>
      </c>
      <c r="B395" t="s">
        <v>103</v>
      </c>
      <c r="C395" s="1">
        <v>44112</v>
      </c>
      <c r="D395" s="1">
        <v>44433</v>
      </c>
      <c r="E395">
        <v>371339</v>
      </c>
    </row>
    <row r="396" spans="1:7" x14ac:dyDescent="0.25">
      <c r="A396">
        <v>5554</v>
      </c>
      <c r="B396" t="s">
        <v>103</v>
      </c>
      <c r="C396" s="1">
        <v>44434</v>
      </c>
      <c r="D396" s="1">
        <v>44826</v>
      </c>
      <c r="E396">
        <v>371898</v>
      </c>
      <c r="F396">
        <v>185800</v>
      </c>
      <c r="G396">
        <v>186098</v>
      </c>
    </row>
    <row r="397" spans="1:7" x14ac:dyDescent="0.25">
      <c r="A397">
        <v>5554</v>
      </c>
      <c r="B397" t="s">
        <v>103</v>
      </c>
      <c r="C397" s="1">
        <v>44827</v>
      </c>
      <c r="D397" s="1">
        <v>117974</v>
      </c>
      <c r="E397">
        <v>373582</v>
      </c>
      <c r="F397">
        <v>186654</v>
      </c>
      <c r="G397">
        <v>186928</v>
      </c>
    </row>
    <row r="398" spans="1:7" x14ac:dyDescent="0.25">
      <c r="A398">
        <v>5558</v>
      </c>
      <c r="B398" t="s">
        <v>104</v>
      </c>
      <c r="C398" s="1">
        <v>43831</v>
      </c>
      <c r="D398" s="1">
        <v>44111</v>
      </c>
      <c r="E398">
        <v>219929</v>
      </c>
    </row>
    <row r="399" spans="1:7" x14ac:dyDescent="0.25">
      <c r="A399">
        <v>5558</v>
      </c>
      <c r="B399" t="s">
        <v>104</v>
      </c>
      <c r="C399" s="1">
        <v>44112</v>
      </c>
      <c r="D399" s="1">
        <v>44433</v>
      </c>
      <c r="E399">
        <v>220586</v>
      </c>
    </row>
    <row r="400" spans="1:7" x14ac:dyDescent="0.25">
      <c r="A400">
        <v>5558</v>
      </c>
      <c r="B400" t="s">
        <v>104</v>
      </c>
      <c r="C400" s="1">
        <v>44434</v>
      </c>
      <c r="D400" s="1">
        <v>44826</v>
      </c>
      <c r="E400">
        <v>220712</v>
      </c>
      <c r="F400">
        <v>108863</v>
      </c>
      <c r="G400">
        <v>111849</v>
      </c>
    </row>
    <row r="401" spans="1:7" x14ac:dyDescent="0.25">
      <c r="A401">
        <v>5558</v>
      </c>
      <c r="B401" t="s">
        <v>104</v>
      </c>
      <c r="C401" s="1">
        <v>44827</v>
      </c>
      <c r="D401" s="1">
        <v>117974</v>
      </c>
      <c r="E401">
        <v>221352</v>
      </c>
      <c r="F401">
        <v>109210</v>
      </c>
      <c r="G401">
        <v>112142</v>
      </c>
    </row>
    <row r="402" spans="1:7" x14ac:dyDescent="0.25">
      <c r="A402">
        <v>5562</v>
      </c>
      <c r="B402" t="s">
        <v>105</v>
      </c>
      <c r="C402" s="1">
        <v>43831</v>
      </c>
      <c r="D402" s="1">
        <v>44111</v>
      </c>
      <c r="E402">
        <v>615261</v>
      </c>
    </row>
    <row r="403" spans="1:7" x14ac:dyDescent="0.25">
      <c r="A403">
        <v>5562</v>
      </c>
      <c r="B403" t="s">
        <v>105</v>
      </c>
      <c r="C403" s="1">
        <v>44112</v>
      </c>
      <c r="D403" s="1">
        <v>44433</v>
      </c>
      <c r="E403">
        <v>614137</v>
      </c>
    </row>
    <row r="404" spans="1:7" x14ac:dyDescent="0.25">
      <c r="A404">
        <v>5562</v>
      </c>
      <c r="B404" t="s">
        <v>105</v>
      </c>
      <c r="C404" s="1">
        <v>44434</v>
      </c>
      <c r="D404" s="1">
        <v>44826</v>
      </c>
      <c r="E404">
        <v>613599</v>
      </c>
      <c r="F404">
        <v>299053</v>
      </c>
      <c r="G404">
        <v>314546</v>
      </c>
    </row>
    <row r="405" spans="1:7" x14ac:dyDescent="0.25">
      <c r="A405">
        <v>5562</v>
      </c>
      <c r="B405" t="s">
        <v>105</v>
      </c>
      <c r="C405" s="1">
        <v>44827</v>
      </c>
      <c r="D405" s="1">
        <v>117974</v>
      </c>
      <c r="E405">
        <v>612801</v>
      </c>
      <c r="F405">
        <v>298416</v>
      </c>
      <c r="G405">
        <v>314385</v>
      </c>
    </row>
    <row r="406" spans="1:7" x14ac:dyDescent="0.25">
      <c r="A406">
        <v>5566</v>
      </c>
      <c r="B406" t="s">
        <v>106</v>
      </c>
      <c r="C406" s="1">
        <v>43831</v>
      </c>
      <c r="D406" s="1">
        <v>44111</v>
      </c>
      <c r="E406">
        <v>447614</v>
      </c>
    </row>
    <row r="407" spans="1:7" x14ac:dyDescent="0.25">
      <c r="A407">
        <v>5566</v>
      </c>
      <c r="B407" t="s">
        <v>106</v>
      </c>
      <c r="C407" s="1">
        <v>44112</v>
      </c>
      <c r="D407" s="1">
        <v>44433</v>
      </c>
      <c r="E407">
        <v>448220</v>
      </c>
    </row>
    <row r="408" spans="1:7" x14ac:dyDescent="0.25">
      <c r="A408">
        <v>5566</v>
      </c>
      <c r="B408" t="s">
        <v>106</v>
      </c>
      <c r="C408" s="1">
        <v>44434</v>
      </c>
      <c r="D408" s="1">
        <v>44826</v>
      </c>
      <c r="E408">
        <v>448197</v>
      </c>
      <c r="F408">
        <v>222884</v>
      </c>
      <c r="G408">
        <v>225313</v>
      </c>
    </row>
    <row r="409" spans="1:7" x14ac:dyDescent="0.25">
      <c r="A409">
        <v>5566</v>
      </c>
      <c r="B409" t="s">
        <v>106</v>
      </c>
      <c r="C409" s="1">
        <v>44827</v>
      </c>
      <c r="D409" s="1">
        <v>117974</v>
      </c>
      <c r="E409">
        <v>450176</v>
      </c>
      <c r="F409">
        <v>223922</v>
      </c>
      <c r="G409">
        <v>226254</v>
      </c>
    </row>
    <row r="410" spans="1:7" x14ac:dyDescent="0.25">
      <c r="A410">
        <v>5570</v>
      </c>
      <c r="B410" t="s">
        <v>107</v>
      </c>
      <c r="C410" s="1">
        <v>43831</v>
      </c>
      <c r="D410" s="1">
        <v>44111</v>
      </c>
      <c r="E410">
        <v>277783</v>
      </c>
    </row>
    <row r="411" spans="1:7" x14ac:dyDescent="0.25">
      <c r="A411">
        <v>5570</v>
      </c>
      <c r="B411" t="s">
        <v>107</v>
      </c>
      <c r="C411" s="1">
        <v>44112</v>
      </c>
      <c r="D411" s="1">
        <v>44433</v>
      </c>
      <c r="E411">
        <v>277840</v>
      </c>
    </row>
    <row r="412" spans="1:7" x14ac:dyDescent="0.25">
      <c r="A412">
        <v>5570</v>
      </c>
      <c r="B412" t="s">
        <v>107</v>
      </c>
      <c r="C412" s="1">
        <v>44434</v>
      </c>
      <c r="D412" s="1">
        <v>44826</v>
      </c>
      <c r="E412">
        <v>277417</v>
      </c>
      <c r="F412">
        <v>136924</v>
      </c>
      <c r="G412">
        <v>140493</v>
      </c>
    </row>
    <row r="413" spans="1:7" x14ac:dyDescent="0.25">
      <c r="A413">
        <v>5570</v>
      </c>
      <c r="B413" t="s">
        <v>107</v>
      </c>
      <c r="C413" s="1">
        <v>44827</v>
      </c>
      <c r="D413" s="1">
        <v>117974</v>
      </c>
      <c r="E413">
        <v>278176</v>
      </c>
      <c r="F413">
        <v>137425</v>
      </c>
      <c r="G413">
        <v>140751</v>
      </c>
    </row>
    <row r="414" spans="1:7" x14ac:dyDescent="0.25">
      <c r="A414">
        <v>5711</v>
      </c>
      <c r="B414" t="s">
        <v>108</v>
      </c>
      <c r="C414" s="1">
        <v>43831</v>
      </c>
      <c r="D414" s="1">
        <v>44111</v>
      </c>
      <c r="E414">
        <v>333786</v>
      </c>
    </row>
    <row r="415" spans="1:7" x14ac:dyDescent="0.25">
      <c r="A415">
        <v>5711</v>
      </c>
      <c r="B415" t="s">
        <v>108</v>
      </c>
      <c r="C415" s="1">
        <v>44112</v>
      </c>
      <c r="D415" s="1">
        <v>44433</v>
      </c>
      <c r="E415">
        <v>334195</v>
      </c>
    </row>
    <row r="416" spans="1:7" x14ac:dyDescent="0.25">
      <c r="A416">
        <v>5711</v>
      </c>
      <c r="B416" t="s">
        <v>108</v>
      </c>
      <c r="C416" s="1">
        <v>44434</v>
      </c>
      <c r="D416" s="1">
        <v>44826</v>
      </c>
      <c r="E416">
        <v>333509</v>
      </c>
      <c r="F416">
        <v>160802</v>
      </c>
      <c r="G416">
        <v>172707</v>
      </c>
    </row>
    <row r="417" spans="1:7" x14ac:dyDescent="0.25">
      <c r="A417">
        <v>5711</v>
      </c>
      <c r="B417" t="s">
        <v>108</v>
      </c>
      <c r="C417" s="1">
        <v>44827</v>
      </c>
      <c r="D417" s="1">
        <v>117974</v>
      </c>
      <c r="E417">
        <v>334002</v>
      </c>
      <c r="F417">
        <v>161237</v>
      </c>
      <c r="G417">
        <v>172765</v>
      </c>
    </row>
    <row r="418" spans="1:7" x14ac:dyDescent="0.25">
      <c r="A418">
        <v>5754</v>
      </c>
      <c r="B418" t="s">
        <v>109</v>
      </c>
      <c r="C418" s="1">
        <v>43831</v>
      </c>
      <c r="D418" s="1">
        <v>44111</v>
      </c>
      <c r="E418">
        <v>364083</v>
      </c>
    </row>
    <row r="419" spans="1:7" x14ac:dyDescent="0.25">
      <c r="A419">
        <v>5754</v>
      </c>
      <c r="B419" t="s">
        <v>109</v>
      </c>
      <c r="C419" s="1">
        <v>44112</v>
      </c>
      <c r="D419" s="1">
        <v>44433</v>
      </c>
      <c r="E419">
        <v>364938</v>
      </c>
    </row>
    <row r="420" spans="1:7" x14ac:dyDescent="0.25">
      <c r="A420">
        <v>5754</v>
      </c>
      <c r="B420" t="s">
        <v>109</v>
      </c>
      <c r="C420" s="1">
        <v>44434</v>
      </c>
      <c r="D420" s="1">
        <v>44826</v>
      </c>
      <c r="E420">
        <v>364818</v>
      </c>
      <c r="F420">
        <v>181947</v>
      </c>
      <c r="G420">
        <v>182871</v>
      </c>
    </row>
    <row r="421" spans="1:7" x14ac:dyDescent="0.25">
      <c r="A421">
        <v>5754</v>
      </c>
      <c r="B421" t="s">
        <v>109</v>
      </c>
      <c r="C421" s="1">
        <v>44827</v>
      </c>
      <c r="D421" s="1">
        <v>117974</v>
      </c>
      <c r="E421">
        <v>366104</v>
      </c>
      <c r="F421">
        <v>182673</v>
      </c>
      <c r="G421">
        <v>183431</v>
      </c>
    </row>
    <row r="422" spans="1:7" x14ac:dyDescent="0.25">
      <c r="A422">
        <v>5758</v>
      </c>
      <c r="B422" t="s">
        <v>110</v>
      </c>
      <c r="C422" s="1">
        <v>43831</v>
      </c>
      <c r="D422" s="1">
        <v>44111</v>
      </c>
      <c r="E422">
        <v>250783</v>
      </c>
    </row>
    <row r="423" spans="1:7" x14ac:dyDescent="0.25">
      <c r="A423">
        <v>5758</v>
      </c>
      <c r="B423" t="s">
        <v>110</v>
      </c>
      <c r="C423" s="1">
        <v>44112</v>
      </c>
      <c r="D423" s="1">
        <v>44433</v>
      </c>
      <c r="E423">
        <v>250578</v>
      </c>
    </row>
    <row r="424" spans="1:7" x14ac:dyDescent="0.25">
      <c r="A424">
        <v>5758</v>
      </c>
      <c r="B424" t="s">
        <v>110</v>
      </c>
      <c r="C424" s="1">
        <v>44434</v>
      </c>
      <c r="D424" s="1">
        <v>44826</v>
      </c>
      <c r="E424">
        <v>250547</v>
      </c>
      <c r="F424">
        <v>123181</v>
      </c>
      <c r="G424">
        <v>127366</v>
      </c>
    </row>
    <row r="425" spans="1:7" x14ac:dyDescent="0.25">
      <c r="A425">
        <v>5758</v>
      </c>
      <c r="B425" t="s">
        <v>110</v>
      </c>
      <c r="C425" s="1">
        <v>44827</v>
      </c>
      <c r="D425" s="1">
        <v>117974</v>
      </c>
      <c r="E425">
        <v>250635</v>
      </c>
      <c r="F425">
        <v>123333</v>
      </c>
      <c r="G425">
        <v>127302</v>
      </c>
    </row>
    <row r="426" spans="1:7" x14ac:dyDescent="0.25">
      <c r="A426">
        <v>5762</v>
      </c>
      <c r="B426" t="s">
        <v>111</v>
      </c>
      <c r="C426" s="1">
        <v>43831</v>
      </c>
      <c r="D426" s="1">
        <v>44111</v>
      </c>
      <c r="E426">
        <v>140667</v>
      </c>
    </row>
    <row r="427" spans="1:7" x14ac:dyDescent="0.25">
      <c r="A427">
        <v>5762</v>
      </c>
      <c r="B427" t="s">
        <v>111</v>
      </c>
      <c r="C427" s="1">
        <v>44112</v>
      </c>
      <c r="D427" s="1">
        <v>44433</v>
      </c>
      <c r="E427">
        <v>140251</v>
      </c>
    </row>
    <row r="428" spans="1:7" x14ac:dyDescent="0.25">
      <c r="A428">
        <v>5762</v>
      </c>
      <c r="B428" t="s">
        <v>111</v>
      </c>
      <c r="C428" s="1">
        <v>44434</v>
      </c>
      <c r="D428" s="1">
        <v>44826</v>
      </c>
      <c r="E428">
        <v>139729</v>
      </c>
      <c r="F428">
        <v>69556</v>
      </c>
      <c r="G428">
        <v>70173</v>
      </c>
    </row>
    <row r="429" spans="1:7" x14ac:dyDescent="0.25">
      <c r="A429">
        <v>5762</v>
      </c>
      <c r="B429" t="s">
        <v>111</v>
      </c>
      <c r="C429" s="1">
        <v>44827</v>
      </c>
      <c r="D429" s="1">
        <v>117974</v>
      </c>
      <c r="E429">
        <v>139994</v>
      </c>
      <c r="F429">
        <v>69732</v>
      </c>
      <c r="G429">
        <v>70262</v>
      </c>
    </row>
    <row r="430" spans="1:7" x14ac:dyDescent="0.25">
      <c r="A430">
        <v>5766</v>
      </c>
      <c r="B430" t="s">
        <v>112</v>
      </c>
      <c r="C430" s="1">
        <v>43831</v>
      </c>
      <c r="D430" s="1">
        <v>44111</v>
      </c>
      <c r="E430">
        <v>348391</v>
      </c>
    </row>
    <row r="431" spans="1:7" x14ac:dyDescent="0.25">
      <c r="A431">
        <v>5766</v>
      </c>
      <c r="B431" t="s">
        <v>112</v>
      </c>
      <c r="C431" s="1">
        <v>44112</v>
      </c>
      <c r="D431" s="1">
        <v>44433</v>
      </c>
      <c r="E431">
        <v>347514</v>
      </c>
    </row>
    <row r="432" spans="1:7" x14ac:dyDescent="0.25">
      <c r="A432">
        <v>5766</v>
      </c>
      <c r="B432" t="s">
        <v>112</v>
      </c>
      <c r="C432" s="1">
        <v>44434</v>
      </c>
      <c r="D432" s="1">
        <v>44826</v>
      </c>
      <c r="E432">
        <v>346970</v>
      </c>
      <c r="F432">
        <v>170224</v>
      </c>
      <c r="G432">
        <v>176746</v>
      </c>
    </row>
    <row r="433" spans="1:7" x14ac:dyDescent="0.25">
      <c r="A433">
        <v>5766</v>
      </c>
      <c r="B433" t="s">
        <v>112</v>
      </c>
      <c r="C433" s="1">
        <v>44827</v>
      </c>
      <c r="D433" s="1">
        <v>117974</v>
      </c>
      <c r="E433">
        <v>346151</v>
      </c>
      <c r="F433">
        <v>169938</v>
      </c>
      <c r="G433">
        <v>176213</v>
      </c>
    </row>
    <row r="434" spans="1:7" x14ac:dyDescent="0.25">
      <c r="A434">
        <v>5770</v>
      </c>
      <c r="B434" t="s">
        <v>113</v>
      </c>
      <c r="C434" s="1">
        <v>43831</v>
      </c>
      <c r="D434" s="1">
        <v>44111</v>
      </c>
      <c r="E434">
        <v>310710</v>
      </c>
    </row>
    <row r="435" spans="1:7" x14ac:dyDescent="0.25">
      <c r="A435">
        <v>5770</v>
      </c>
      <c r="B435" t="s">
        <v>113</v>
      </c>
      <c r="C435" s="1">
        <v>44112</v>
      </c>
      <c r="D435" s="1">
        <v>44433</v>
      </c>
      <c r="E435">
        <v>310409</v>
      </c>
    </row>
    <row r="436" spans="1:7" x14ac:dyDescent="0.25">
      <c r="A436">
        <v>5770</v>
      </c>
      <c r="B436" t="s">
        <v>113</v>
      </c>
      <c r="C436" s="1">
        <v>44434</v>
      </c>
      <c r="D436" s="1">
        <v>44826</v>
      </c>
      <c r="E436">
        <v>310270</v>
      </c>
      <c r="F436">
        <v>153264</v>
      </c>
      <c r="G436">
        <v>157006</v>
      </c>
    </row>
    <row r="437" spans="1:7" x14ac:dyDescent="0.25">
      <c r="A437">
        <v>5770</v>
      </c>
      <c r="B437" t="s">
        <v>113</v>
      </c>
      <c r="C437" s="1">
        <v>44827</v>
      </c>
      <c r="D437" s="1">
        <v>117974</v>
      </c>
      <c r="E437">
        <v>311214</v>
      </c>
      <c r="F437">
        <v>153899</v>
      </c>
      <c r="G437">
        <v>157315</v>
      </c>
    </row>
    <row r="438" spans="1:7" x14ac:dyDescent="0.25">
      <c r="A438">
        <v>5774</v>
      </c>
      <c r="B438" t="s">
        <v>114</v>
      </c>
      <c r="C438" s="1">
        <v>43831</v>
      </c>
      <c r="D438" s="1">
        <v>44111</v>
      </c>
      <c r="E438">
        <v>306890</v>
      </c>
    </row>
    <row r="439" spans="1:7" x14ac:dyDescent="0.25">
      <c r="A439">
        <v>5774</v>
      </c>
      <c r="B439" t="s">
        <v>114</v>
      </c>
      <c r="C439" s="1">
        <v>44112</v>
      </c>
      <c r="D439" s="1">
        <v>44433</v>
      </c>
      <c r="E439">
        <v>307839</v>
      </c>
    </row>
    <row r="440" spans="1:7" x14ac:dyDescent="0.25">
      <c r="A440">
        <v>5774</v>
      </c>
      <c r="B440" t="s">
        <v>114</v>
      </c>
      <c r="C440" s="1">
        <v>44434</v>
      </c>
      <c r="D440" s="1">
        <v>44826</v>
      </c>
      <c r="E440">
        <v>308335</v>
      </c>
      <c r="F440">
        <v>154388</v>
      </c>
      <c r="G440">
        <v>153947</v>
      </c>
    </row>
    <row r="441" spans="1:7" x14ac:dyDescent="0.25">
      <c r="A441">
        <v>5774</v>
      </c>
      <c r="B441" t="s">
        <v>114</v>
      </c>
      <c r="C441" s="1">
        <v>44827</v>
      </c>
      <c r="D441" s="1">
        <v>117974</v>
      </c>
      <c r="E441">
        <v>309380</v>
      </c>
      <c r="F441">
        <v>154965</v>
      </c>
      <c r="G441">
        <v>154415</v>
      </c>
    </row>
    <row r="442" spans="1:7" x14ac:dyDescent="0.25">
      <c r="A442">
        <v>5911</v>
      </c>
      <c r="B442" t="s">
        <v>115</v>
      </c>
      <c r="C442" s="1">
        <v>43831</v>
      </c>
      <c r="D442" s="1">
        <v>44111</v>
      </c>
      <c r="E442">
        <v>364628</v>
      </c>
    </row>
    <row r="443" spans="1:7" x14ac:dyDescent="0.25">
      <c r="A443">
        <v>5911</v>
      </c>
      <c r="B443" t="s">
        <v>115</v>
      </c>
      <c r="C443" s="1">
        <v>44112</v>
      </c>
      <c r="D443" s="1">
        <v>44433</v>
      </c>
      <c r="E443">
        <v>365587</v>
      </c>
    </row>
    <row r="444" spans="1:7" x14ac:dyDescent="0.25">
      <c r="A444">
        <v>5911</v>
      </c>
      <c r="B444" t="s">
        <v>115</v>
      </c>
      <c r="C444" s="1">
        <v>44434</v>
      </c>
      <c r="D444" s="1">
        <v>44826</v>
      </c>
      <c r="E444">
        <v>364454</v>
      </c>
      <c r="F444">
        <v>177829</v>
      </c>
      <c r="G444">
        <v>186625</v>
      </c>
    </row>
    <row r="445" spans="1:7" x14ac:dyDescent="0.25">
      <c r="A445">
        <v>5911</v>
      </c>
      <c r="B445" t="s">
        <v>115</v>
      </c>
      <c r="C445" s="1">
        <v>44827</v>
      </c>
      <c r="D445" s="1">
        <v>117974</v>
      </c>
      <c r="E445">
        <v>363441</v>
      </c>
      <c r="F445">
        <v>177516</v>
      </c>
      <c r="G445">
        <v>185925</v>
      </c>
    </row>
    <row r="446" spans="1:7" x14ac:dyDescent="0.25">
      <c r="A446">
        <v>5913</v>
      </c>
      <c r="B446" t="s">
        <v>116</v>
      </c>
      <c r="C446" s="1">
        <v>43831</v>
      </c>
      <c r="D446" s="1">
        <v>44111</v>
      </c>
      <c r="E446">
        <v>587010</v>
      </c>
    </row>
    <row r="447" spans="1:7" x14ac:dyDescent="0.25">
      <c r="A447">
        <v>5913</v>
      </c>
      <c r="B447" t="s">
        <v>116</v>
      </c>
      <c r="C447" s="1">
        <v>44112</v>
      </c>
      <c r="D447" s="1">
        <v>44433</v>
      </c>
      <c r="E447">
        <v>588250</v>
      </c>
    </row>
    <row r="448" spans="1:7" x14ac:dyDescent="0.25">
      <c r="A448">
        <v>5913</v>
      </c>
      <c r="B448" t="s">
        <v>116</v>
      </c>
      <c r="C448" s="1">
        <v>44434</v>
      </c>
      <c r="D448" s="1">
        <v>44826</v>
      </c>
      <c r="E448">
        <v>587696</v>
      </c>
      <c r="F448">
        <v>289096</v>
      </c>
      <c r="G448">
        <v>298600</v>
      </c>
    </row>
    <row r="449" spans="1:7" x14ac:dyDescent="0.25">
      <c r="A449">
        <v>5913</v>
      </c>
      <c r="B449" t="s">
        <v>116</v>
      </c>
      <c r="C449" s="1">
        <v>44827</v>
      </c>
      <c r="D449" s="1">
        <v>117974</v>
      </c>
      <c r="E449">
        <v>586852</v>
      </c>
      <c r="F449">
        <v>288580</v>
      </c>
      <c r="G449">
        <v>298272</v>
      </c>
    </row>
    <row r="450" spans="1:7" x14ac:dyDescent="0.25">
      <c r="A450">
        <v>5914</v>
      </c>
      <c r="B450" t="s">
        <v>117</v>
      </c>
      <c r="C450" s="1">
        <v>43831</v>
      </c>
      <c r="D450" s="1">
        <v>44111</v>
      </c>
      <c r="E450">
        <v>188814</v>
      </c>
    </row>
    <row r="451" spans="1:7" x14ac:dyDescent="0.25">
      <c r="A451">
        <v>5914</v>
      </c>
      <c r="B451" t="s">
        <v>117</v>
      </c>
      <c r="C451" s="1">
        <v>44112</v>
      </c>
      <c r="D451" s="1">
        <v>44433</v>
      </c>
      <c r="E451">
        <v>188686</v>
      </c>
    </row>
    <row r="452" spans="1:7" x14ac:dyDescent="0.25">
      <c r="A452">
        <v>5914</v>
      </c>
      <c r="B452" t="s">
        <v>117</v>
      </c>
      <c r="C452" s="1">
        <v>44434</v>
      </c>
      <c r="D452" s="1">
        <v>44826</v>
      </c>
      <c r="E452">
        <v>188687</v>
      </c>
      <c r="F452">
        <v>92235</v>
      </c>
      <c r="G452">
        <v>96452</v>
      </c>
    </row>
    <row r="453" spans="1:7" x14ac:dyDescent="0.25">
      <c r="A453">
        <v>5914</v>
      </c>
      <c r="B453" t="s">
        <v>117</v>
      </c>
      <c r="C453" s="1">
        <v>44827</v>
      </c>
      <c r="D453" s="1">
        <v>117974</v>
      </c>
      <c r="E453">
        <v>188713</v>
      </c>
      <c r="F453">
        <v>92373</v>
      </c>
      <c r="G453">
        <v>96340</v>
      </c>
    </row>
    <row r="454" spans="1:7" x14ac:dyDescent="0.25">
      <c r="A454">
        <v>5915</v>
      </c>
      <c r="B454" t="s">
        <v>118</v>
      </c>
      <c r="C454" s="1">
        <v>43831</v>
      </c>
      <c r="D454" s="1">
        <v>44111</v>
      </c>
      <c r="E454">
        <v>179111</v>
      </c>
    </row>
    <row r="455" spans="1:7" x14ac:dyDescent="0.25">
      <c r="A455">
        <v>5915</v>
      </c>
      <c r="B455" t="s">
        <v>118</v>
      </c>
      <c r="C455" s="1">
        <v>44112</v>
      </c>
      <c r="D455" s="1">
        <v>44433</v>
      </c>
      <c r="E455">
        <v>179916</v>
      </c>
    </row>
    <row r="456" spans="1:7" x14ac:dyDescent="0.25">
      <c r="A456">
        <v>5915</v>
      </c>
      <c r="B456" t="s">
        <v>118</v>
      </c>
      <c r="C456" s="1">
        <v>44434</v>
      </c>
      <c r="D456" s="1">
        <v>44826</v>
      </c>
      <c r="E456">
        <v>178967</v>
      </c>
      <c r="F456">
        <v>88085</v>
      </c>
      <c r="G456">
        <v>90882</v>
      </c>
    </row>
    <row r="457" spans="1:7" x14ac:dyDescent="0.25">
      <c r="A457">
        <v>5915</v>
      </c>
      <c r="B457" t="s">
        <v>118</v>
      </c>
      <c r="C457" s="1">
        <v>44827</v>
      </c>
      <c r="D457" s="1">
        <v>117974</v>
      </c>
      <c r="E457">
        <v>179238</v>
      </c>
      <c r="F457">
        <v>88334</v>
      </c>
      <c r="G457">
        <v>90904</v>
      </c>
    </row>
    <row r="458" spans="1:7" x14ac:dyDescent="0.25">
      <c r="A458">
        <v>5916</v>
      </c>
      <c r="B458" t="s">
        <v>119</v>
      </c>
      <c r="C458" s="1">
        <v>43831</v>
      </c>
      <c r="D458" s="1">
        <v>44111</v>
      </c>
      <c r="E458">
        <v>156374</v>
      </c>
    </row>
    <row r="459" spans="1:7" x14ac:dyDescent="0.25">
      <c r="A459">
        <v>5916</v>
      </c>
      <c r="B459" t="s">
        <v>119</v>
      </c>
      <c r="C459" s="1">
        <v>44112</v>
      </c>
      <c r="D459" s="1">
        <v>44433</v>
      </c>
      <c r="E459">
        <v>156449</v>
      </c>
    </row>
    <row r="460" spans="1:7" x14ac:dyDescent="0.25">
      <c r="A460">
        <v>5916</v>
      </c>
      <c r="B460" t="s">
        <v>119</v>
      </c>
      <c r="C460" s="1">
        <v>44434</v>
      </c>
      <c r="D460" s="1">
        <v>44826</v>
      </c>
      <c r="E460">
        <v>156940</v>
      </c>
      <c r="F460">
        <v>77058</v>
      </c>
      <c r="G460">
        <v>79882</v>
      </c>
    </row>
    <row r="461" spans="1:7" x14ac:dyDescent="0.25">
      <c r="A461">
        <v>5916</v>
      </c>
      <c r="B461" t="s">
        <v>119</v>
      </c>
      <c r="C461" s="1">
        <v>44827</v>
      </c>
      <c r="D461" s="1">
        <v>117974</v>
      </c>
      <c r="E461">
        <v>156621</v>
      </c>
      <c r="F461">
        <v>76846</v>
      </c>
      <c r="G461">
        <v>79775</v>
      </c>
    </row>
    <row r="462" spans="1:7" x14ac:dyDescent="0.25">
      <c r="A462">
        <v>5954</v>
      </c>
      <c r="B462" t="s">
        <v>120</v>
      </c>
      <c r="C462" s="1">
        <v>43831</v>
      </c>
      <c r="D462" s="1">
        <v>44111</v>
      </c>
      <c r="E462">
        <v>324296</v>
      </c>
    </row>
    <row r="463" spans="1:7" x14ac:dyDescent="0.25">
      <c r="A463">
        <v>5954</v>
      </c>
      <c r="B463" t="s">
        <v>120</v>
      </c>
      <c r="C463" s="1">
        <v>44112</v>
      </c>
      <c r="D463" s="1">
        <v>44433</v>
      </c>
      <c r="E463">
        <v>324106</v>
      </c>
    </row>
    <row r="464" spans="1:7" x14ac:dyDescent="0.25">
      <c r="A464">
        <v>5954</v>
      </c>
      <c r="B464" t="s">
        <v>120</v>
      </c>
      <c r="C464" s="1">
        <v>44434</v>
      </c>
      <c r="D464" s="1">
        <v>44826</v>
      </c>
      <c r="E464">
        <v>323130</v>
      </c>
      <c r="F464">
        <v>156848</v>
      </c>
      <c r="G464">
        <v>166282</v>
      </c>
    </row>
    <row r="465" spans="1:7" x14ac:dyDescent="0.25">
      <c r="A465">
        <v>5954</v>
      </c>
      <c r="B465" t="s">
        <v>120</v>
      </c>
      <c r="C465" s="1">
        <v>44827</v>
      </c>
      <c r="D465" s="1">
        <v>117974</v>
      </c>
      <c r="E465">
        <v>322143</v>
      </c>
      <c r="F465">
        <v>156443</v>
      </c>
      <c r="G465">
        <v>165700</v>
      </c>
    </row>
    <row r="466" spans="1:7" x14ac:dyDescent="0.25">
      <c r="A466">
        <v>5958</v>
      </c>
      <c r="B466" t="s">
        <v>121</v>
      </c>
      <c r="C466" s="1">
        <v>43831</v>
      </c>
      <c r="D466" s="1">
        <v>44111</v>
      </c>
      <c r="E466">
        <v>260475</v>
      </c>
    </row>
    <row r="467" spans="1:7" x14ac:dyDescent="0.25">
      <c r="A467">
        <v>5958</v>
      </c>
      <c r="B467" t="s">
        <v>121</v>
      </c>
      <c r="C467" s="1">
        <v>44112</v>
      </c>
      <c r="D467" s="1">
        <v>44433</v>
      </c>
      <c r="E467">
        <v>259777</v>
      </c>
    </row>
    <row r="468" spans="1:7" x14ac:dyDescent="0.25">
      <c r="A468">
        <v>5958</v>
      </c>
      <c r="B468" t="s">
        <v>121</v>
      </c>
      <c r="C468" s="1">
        <v>44434</v>
      </c>
      <c r="D468" s="1">
        <v>44826</v>
      </c>
      <c r="E468">
        <v>259030</v>
      </c>
      <c r="F468">
        <v>129379</v>
      </c>
      <c r="G468">
        <v>129651</v>
      </c>
    </row>
    <row r="469" spans="1:7" x14ac:dyDescent="0.25">
      <c r="A469">
        <v>5958</v>
      </c>
      <c r="B469" t="s">
        <v>121</v>
      </c>
      <c r="C469" s="1">
        <v>44827</v>
      </c>
      <c r="D469" s="1">
        <v>117974</v>
      </c>
      <c r="E469">
        <v>258615</v>
      </c>
      <c r="F469">
        <v>129177</v>
      </c>
      <c r="G469">
        <v>129438</v>
      </c>
    </row>
    <row r="470" spans="1:7" x14ac:dyDescent="0.25">
      <c r="A470">
        <v>5962</v>
      </c>
      <c r="B470" t="s">
        <v>122</v>
      </c>
      <c r="C470" s="1">
        <v>43831</v>
      </c>
      <c r="D470" s="1">
        <v>44111</v>
      </c>
      <c r="E470">
        <v>412120</v>
      </c>
    </row>
    <row r="471" spans="1:7" x14ac:dyDescent="0.25">
      <c r="A471">
        <v>5962</v>
      </c>
      <c r="B471" t="s">
        <v>122</v>
      </c>
      <c r="C471" s="1">
        <v>44112</v>
      </c>
      <c r="D471" s="1">
        <v>44433</v>
      </c>
      <c r="E471">
        <v>410222</v>
      </c>
    </row>
    <row r="472" spans="1:7" x14ac:dyDescent="0.25">
      <c r="A472">
        <v>5962</v>
      </c>
      <c r="B472" t="s">
        <v>122</v>
      </c>
      <c r="C472" s="1">
        <v>44434</v>
      </c>
      <c r="D472" s="1">
        <v>44826</v>
      </c>
      <c r="E472">
        <v>408662</v>
      </c>
      <c r="F472">
        <v>201181</v>
      </c>
      <c r="G472">
        <v>207481</v>
      </c>
    </row>
    <row r="473" spans="1:7" x14ac:dyDescent="0.25">
      <c r="A473">
        <v>5962</v>
      </c>
      <c r="B473" t="s">
        <v>122</v>
      </c>
      <c r="C473" s="1">
        <v>44827</v>
      </c>
      <c r="D473" s="1">
        <v>117974</v>
      </c>
      <c r="E473">
        <v>406793</v>
      </c>
      <c r="F473">
        <v>200171</v>
      </c>
      <c r="G473">
        <v>206622</v>
      </c>
    </row>
    <row r="474" spans="1:7" x14ac:dyDescent="0.25">
      <c r="A474">
        <v>5966</v>
      </c>
      <c r="B474" t="s">
        <v>123</v>
      </c>
      <c r="C474" s="1">
        <v>43831</v>
      </c>
      <c r="D474" s="1">
        <v>44111</v>
      </c>
      <c r="E474">
        <v>134775</v>
      </c>
    </row>
    <row r="475" spans="1:7" x14ac:dyDescent="0.25">
      <c r="A475">
        <v>5966</v>
      </c>
      <c r="B475" t="s">
        <v>123</v>
      </c>
      <c r="C475" s="1">
        <v>44112</v>
      </c>
      <c r="D475" s="1">
        <v>44433</v>
      </c>
      <c r="E475">
        <v>133955</v>
      </c>
    </row>
    <row r="476" spans="1:7" x14ac:dyDescent="0.25">
      <c r="A476">
        <v>5966</v>
      </c>
      <c r="B476" t="s">
        <v>123</v>
      </c>
      <c r="C476" s="1">
        <v>44434</v>
      </c>
      <c r="D476" s="1">
        <v>44826</v>
      </c>
      <c r="E476">
        <v>133362</v>
      </c>
      <c r="F476">
        <v>66810</v>
      </c>
      <c r="G476">
        <v>66552</v>
      </c>
    </row>
    <row r="477" spans="1:7" x14ac:dyDescent="0.25">
      <c r="A477">
        <v>5966</v>
      </c>
      <c r="B477" t="s">
        <v>123</v>
      </c>
      <c r="C477" s="1">
        <v>44827</v>
      </c>
      <c r="D477" s="1">
        <v>117974</v>
      </c>
      <c r="E477">
        <v>133120</v>
      </c>
      <c r="F477">
        <v>66636</v>
      </c>
      <c r="G477">
        <v>66484</v>
      </c>
    </row>
    <row r="478" spans="1:7" x14ac:dyDescent="0.25">
      <c r="A478">
        <v>5970</v>
      </c>
      <c r="B478" t="s">
        <v>124</v>
      </c>
      <c r="C478" s="1">
        <v>43831</v>
      </c>
      <c r="D478" s="1">
        <v>44111</v>
      </c>
      <c r="E478">
        <v>278210</v>
      </c>
    </row>
    <row r="479" spans="1:7" x14ac:dyDescent="0.25">
      <c r="A479">
        <v>5970</v>
      </c>
      <c r="B479" t="s">
        <v>124</v>
      </c>
      <c r="C479" s="1">
        <v>44112</v>
      </c>
      <c r="D479" s="1">
        <v>44433</v>
      </c>
      <c r="E479">
        <v>276944</v>
      </c>
    </row>
    <row r="480" spans="1:7" x14ac:dyDescent="0.25">
      <c r="A480">
        <v>5970</v>
      </c>
      <c r="B480" t="s">
        <v>124</v>
      </c>
      <c r="C480" s="1">
        <v>44434</v>
      </c>
      <c r="D480" s="1">
        <v>44826</v>
      </c>
      <c r="E480">
        <v>275491</v>
      </c>
      <c r="F480">
        <v>136747</v>
      </c>
      <c r="G480">
        <v>138744</v>
      </c>
    </row>
    <row r="481" spans="1:7" x14ac:dyDescent="0.25">
      <c r="A481">
        <v>5970</v>
      </c>
      <c r="B481" t="s">
        <v>124</v>
      </c>
      <c r="C481" s="1">
        <v>44827</v>
      </c>
      <c r="D481" s="1">
        <v>117974</v>
      </c>
      <c r="E481">
        <v>274342</v>
      </c>
      <c r="F481">
        <v>136324</v>
      </c>
      <c r="G481">
        <v>138018</v>
      </c>
    </row>
    <row r="482" spans="1:7" x14ac:dyDescent="0.25">
      <c r="A482">
        <v>5974</v>
      </c>
      <c r="B482" t="s">
        <v>125</v>
      </c>
      <c r="C482" s="1">
        <v>43831</v>
      </c>
      <c r="D482" s="1">
        <v>44111</v>
      </c>
      <c r="E482">
        <v>301902</v>
      </c>
    </row>
    <row r="483" spans="1:7" x14ac:dyDescent="0.25">
      <c r="A483">
        <v>5974</v>
      </c>
      <c r="B483" t="s">
        <v>125</v>
      </c>
      <c r="C483" s="1">
        <v>44112</v>
      </c>
      <c r="D483" s="1">
        <v>44433</v>
      </c>
      <c r="E483">
        <v>301785</v>
      </c>
    </row>
    <row r="484" spans="1:7" x14ac:dyDescent="0.25">
      <c r="A484">
        <v>5974</v>
      </c>
      <c r="B484" t="s">
        <v>125</v>
      </c>
      <c r="C484" s="1">
        <v>44434</v>
      </c>
      <c r="D484" s="1">
        <v>44826</v>
      </c>
      <c r="E484">
        <v>301016</v>
      </c>
      <c r="F484">
        <v>149419</v>
      </c>
      <c r="G484">
        <v>151597</v>
      </c>
    </row>
    <row r="485" spans="1:7" x14ac:dyDescent="0.25">
      <c r="A485">
        <v>5974</v>
      </c>
      <c r="B485" t="s">
        <v>125</v>
      </c>
      <c r="C485" s="1">
        <v>44827</v>
      </c>
      <c r="D485" s="1">
        <v>117974</v>
      </c>
      <c r="E485">
        <v>302298</v>
      </c>
      <c r="F485">
        <v>150239</v>
      </c>
      <c r="G485">
        <v>152059</v>
      </c>
    </row>
    <row r="486" spans="1:7" x14ac:dyDescent="0.25">
      <c r="A486">
        <v>5978</v>
      </c>
      <c r="B486" t="s">
        <v>126</v>
      </c>
      <c r="C486" s="1">
        <v>43831</v>
      </c>
      <c r="D486" s="1">
        <v>44111</v>
      </c>
      <c r="E486">
        <v>394782</v>
      </c>
    </row>
    <row r="487" spans="1:7" x14ac:dyDescent="0.25">
      <c r="A487">
        <v>5978</v>
      </c>
      <c r="B487" t="s">
        <v>126</v>
      </c>
      <c r="C487" s="1">
        <v>44112</v>
      </c>
      <c r="D487" s="1">
        <v>44433</v>
      </c>
      <c r="E487">
        <v>394891</v>
      </c>
    </row>
    <row r="488" spans="1:7" x14ac:dyDescent="0.25">
      <c r="A488">
        <v>5978</v>
      </c>
      <c r="B488" t="s">
        <v>126</v>
      </c>
      <c r="C488" s="1">
        <v>44434</v>
      </c>
      <c r="D488" s="1">
        <v>44826</v>
      </c>
      <c r="E488">
        <v>393618</v>
      </c>
      <c r="F488">
        <v>191749</v>
      </c>
      <c r="G488">
        <v>201869</v>
      </c>
    </row>
    <row r="489" spans="1:7" x14ac:dyDescent="0.25">
      <c r="A489">
        <v>5978</v>
      </c>
      <c r="B489" t="s">
        <v>126</v>
      </c>
      <c r="C489" s="1">
        <v>44827</v>
      </c>
      <c r="D489" s="1">
        <v>117974</v>
      </c>
      <c r="E489">
        <v>393063</v>
      </c>
      <c r="F489">
        <v>191554</v>
      </c>
      <c r="G489">
        <v>201509</v>
      </c>
    </row>
    <row r="490" spans="1:7" x14ac:dyDescent="0.25">
      <c r="A490">
        <v>6</v>
      </c>
      <c r="B490" t="s">
        <v>127</v>
      </c>
      <c r="C490" s="1">
        <v>43831</v>
      </c>
      <c r="D490" s="1">
        <v>44111</v>
      </c>
      <c r="E490">
        <v>6265809</v>
      </c>
    </row>
    <row r="491" spans="1:7" x14ac:dyDescent="0.25">
      <c r="A491">
        <v>6</v>
      </c>
      <c r="B491" t="s">
        <v>127</v>
      </c>
      <c r="C491" s="1">
        <v>44112</v>
      </c>
      <c r="D491" s="1">
        <v>44433</v>
      </c>
      <c r="E491">
        <v>6288080</v>
      </c>
    </row>
    <row r="492" spans="1:7" x14ac:dyDescent="0.25">
      <c r="A492">
        <v>6</v>
      </c>
      <c r="B492" t="s">
        <v>127</v>
      </c>
      <c r="C492" s="1">
        <v>44434</v>
      </c>
      <c r="D492" s="1">
        <v>44826</v>
      </c>
      <c r="E492">
        <v>6293154</v>
      </c>
      <c r="F492">
        <v>3108408</v>
      </c>
      <c r="G492">
        <v>3184746</v>
      </c>
    </row>
    <row r="493" spans="1:7" x14ac:dyDescent="0.25">
      <c r="A493">
        <v>6</v>
      </c>
      <c r="B493" t="s">
        <v>127</v>
      </c>
      <c r="C493" s="1">
        <v>44827</v>
      </c>
      <c r="D493" s="1">
        <v>117974</v>
      </c>
      <c r="E493">
        <v>6295017</v>
      </c>
      <c r="F493">
        <v>3108589</v>
      </c>
      <c r="G493">
        <v>3186428</v>
      </c>
    </row>
    <row r="494" spans="1:7" x14ac:dyDescent="0.25">
      <c r="A494">
        <v>6411</v>
      </c>
      <c r="B494" t="s">
        <v>128</v>
      </c>
      <c r="C494" s="1">
        <v>43831</v>
      </c>
      <c r="D494" s="1">
        <v>44111</v>
      </c>
      <c r="E494">
        <v>159207</v>
      </c>
    </row>
    <row r="495" spans="1:7" x14ac:dyDescent="0.25">
      <c r="A495">
        <v>6411</v>
      </c>
      <c r="B495" t="s">
        <v>128</v>
      </c>
      <c r="C495" s="1">
        <v>44112</v>
      </c>
      <c r="D495" s="1">
        <v>44433</v>
      </c>
      <c r="E495">
        <v>159878</v>
      </c>
    </row>
    <row r="496" spans="1:7" x14ac:dyDescent="0.25">
      <c r="A496">
        <v>6411</v>
      </c>
      <c r="B496" t="s">
        <v>128</v>
      </c>
      <c r="C496" s="1">
        <v>44434</v>
      </c>
      <c r="D496" s="1">
        <v>44826</v>
      </c>
      <c r="E496">
        <v>159174</v>
      </c>
      <c r="F496">
        <v>81048</v>
      </c>
      <c r="G496">
        <v>78126</v>
      </c>
    </row>
    <row r="497" spans="1:7" x14ac:dyDescent="0.25">
      <c r="A497">
        <v>6411</v>
      </c>
      <c r="B497" t="s">
        <v>128</v>
      </c>
      <c r="C497" s="1">
        <v>44827</v>
      </c>
      <c r="D497" s="1">
        <v>117974</v>
      </c>
      <c r="E497">
        <v>159631</v>
      </c>
      <c r="F497">
        <v>81251</v>
      </c>
      <c r="G497">
        <v>78380</v>
      </c>
    </row>
    <row r="498" spans="1:7" x14ac:dyDescent="0.25">
      <c r="A498">
        <v>6412</v>
      </c>
      <c r="B498" t="s">
        <v>129</v>
      </c>
      <c r="C498" s="1">
        <v>43831</v>
      </c>
      <c r="D498" s="1">
        <v>44111</v>
      </c>
      <c r="E498">
        <v>753056</v>
      </c>
    </row>
    <row r="499" spans="1:7" x14ac:dyDescent="0.25">
      <c r="A499">
        <v>6412</v>
      </c>
      <c r="B499" t="s">
        <v>129</v>
      </c>
      <c r="C499" s="1">
        <v>44112</v>
      </c>
      <c r="D499" s="1">
        <v>44433</v>
      </c>
      <c r="E499">
        <v>763380</v>
      </c>
    </row>
    <row r="500" spans="1:7" x14ac:dyDescent="0.25">
      <c r="A500">
        <v>6412</v>
      </c>
      <c r="B500" t="s">
        <v>129</v>
      </c>
      <c r="C500" s="1">
        <v>44434</v>
      </c>
      <c r="D500" s="1">
        <v>44826</v>
      </c>
      <c r="E500">
        <v>764104</v>
      </c>
      <c r="F500">
        <v>377199</v>
      </c>
      <c r="G500">
        <v>386905</v>
      </c>
    </row>
    <row r="501" spans="1:7" x14ac:dyDescent="0.25">
      <c r="A501">
        <v>6412</v>
      </c>
      <c r="B501" t="s">
        <v>129</v>
      </c>
      <c r="C501" s="1">
        <v>44827</v>
      </c>
      <c r="D501" s="1">
        <v>117974</v>
      </c>
      <c r="E501">
        <v>759224</v>
      </c>
      <c r="F501">
        <v>374525</v>
      </c>
      <c r="G501">
        <v>384699</v>
      </c>
    </row>
    <row r="502" spans="1:7" x14ac:dyDescent="0.25">
      <c r="A502">
        <v>6413</v>
      </c>
      <c r="B502" t="s">
        <v>130</v>
      </c>
      <c r="C502" s="1">
        <v>43831</v>
      </c>
      <c r="D502" s="1">
        <v>44111</v>
      </c>
      <c r="E502">
        <v>128744</v>
      </c>
    </row>
    <row r="503" spans="1:7" x14ac:dyDescent="0.25">
      <c r="A503">
        <v>6413</v>
      </c>
      <c r="B503" t="s">
        <v>130</v>
      </c>
      <c r="C503" s="1">
        <v>44112</v>
      </c>
      <c r="D503" s="1">
        <v>44433</v>
      </c>
      <c r="E503">
        <v>130280</v>
      </c>
    </row>
    <row r="504" spans="1:7" x14ac:dyDescent="0.25">
      <c r="A504">
        <v>6413</v>
      </c>
      <c r="B504" t="s">
        <v>130</v>
      </c>
      <c r="C504" s="1">
        <v>44434</v>
      </c>
      <c r="D504" s="1">
        <v>44826</v>
      </c>
      <c r="E504">
        <v>130892</v>
      </c>
      <c r="F504">
        <v>65063</v>
      </c>
      <c r="G504">
        <v>65829</v>
      </c>
    </row>
    <row r="505" spans="1:7" x14ac:dyDescent="0.25">
      <c r="A505">
        <v>6413</v>
      </c>
      <c r="B505" t="s">
        <v>130</v>
      </c>
      <c r="C505" s="1">
        <v>44827</v>
      </c>
      <c r="D505" s="1">
        <v>117974</v>
      </c>
      <c r="E505">
        <v>131295</v>
      </c>
      <c r="F505">
        <v>65222</v>
      </c>
      <c r="G505">
        <v>66073</v>
      </c>
    </row>
    <row r="506" spans="1:7" x14ac:dyDescent="0.25">
      <c r="A506">
        <v>6414</v>
      </c>
      <c r="B506" t="s">
        <v>131</v>
      </c>
      <c r="C506" s="1">
        <v>43831</v>
      </c>
      <c r="D506" s="1">
        <v>44111</v>
      </c>
      <c r="E506">
        <v>278342</v>
      </c>
    </row>
    <row r="507" spans="1:7" x14ac:dyDescent="0.25">
      <c r="A507">
        <v>6414</v>
      </c>
      <c r="B507" t="s">
        <v>131</v>
      </c>
      <c r="C507" s="1">
        <v>44112</v>
      </c>
      <c r="D507" s="1">
        <v>44433</v>
      </c>
      <c r="E507">
        <v>278474</v>
      </c>
    </row>
    <row r="508" spans="1:7" x14ac:dyDescent="0.25">
      <c r="A508">
        <v>6414</v>
      </c>
      <c r="B508" t="s">
        <v>131</v>
      </c>
      <c r="C508" s="1">
        <v>44434</v>
      </c>
      <c r="D508" s="1">
        <v>44826</v>
      </c>
      <c r="E508">
        <v>278609</v>
      </c>
      <c r="F508">
        <v>133265</v>
      </c>
      <c r="G508">
        <v>145344</v>
      </c>
    </row>
    <row r="509" spans="1:7" x14ac:dyDescent="0.25">
      <c r="A509">
        <v>6414</v>
      </c>
      <c r="B509" t="s">
        <v>131</v>
      </c>
      <c r="C509" s="1">
        <v>44827</v>
      </c>
      <c r="D509" s="1">
        <v>117974</v>
      </c>
      <c r="E509">
        <v>278950</v>
      </c>
      <c r="F509">
        <v>133538</v>
      </c>
      <c r="G509">
        <v>145412</v>
      </c>
    </row>
    <row r="510" spans="1:7" x14ac:dyDescent="0.25">
      <c r="A510">
        <v>6431</v>
      </c>
      <c r="B510" t="s">
        <v>132</v>
      </c>
      <c r="C510" s="1">
        <v>43831</v>
      </c>
      <c r="D510" s="1">
        <v>44111</v>
      </c>
      <c r="E510">
        <v>269694</v>
      </c>
    </row>
    <row r="511" spans="1:7" x14ac:dyDescent="0.25">
      <c r="A511">
        <v>6431</v>
      </c>
      <c r="B511" t="s">
        <v>132</v>
      </c>
      <c r="C511" s="1">
        <v>44112</v>
      </c>
      <c r="D511" s="1">
        <v>44433</v>
      </c>
      <c r="E511">
        <v>270340</v>
      </c>
    </row>
    <row r="512" spans="1:7" x14ac:dyDescent="0.25">
      <c r="A512">
        <v>6431</v>
      </c>
      <c r="B512" t="s">
        <v>132</v>
      </c>
      <c r="C512" s="1">
        <v>44434</v>
      </c>
      <c r="D512" s="1">
        <v>44826</v>
      </c>
      <c r="E512">
        <v>271015</v>
      </c>
      <c r="F512">
        <v>134047</v>
      </c>
      <c r="G512">
        <v>136968</v>
      </c>
    </row>
    <row r="513" spans="1:7" x14ac:dyDescent="0.25">
      <c r="A513">
        <v>6431</v>
      </c>
      <c r="B513" t="s">
        <v>132</v>
      </c>
      <c r="C513" s="1">
        <v>44827</v>
      </c>
      <c r="D513" s="1">
        <v>117974</v>
      </c>
      <c r="E513">
        <v>271166</v>
      </c>
      <c r="F513">
        <v>133915</v>
      </c>
      <c r="G513">
        <v>137251</v>
      </c>
    </row>
    <row r="514" spans="1:7" x14ac:dyDescent="0.25">
      <c r="A514">
        <v>6432</v>
      </c>
      <c r="B514" t="s">
        <v>133</v>
      </c>
      <c r="C514" s="1">
        <v>43831</v>
      </c>
      <c r="D514" s="1">
        <v>44111</v>
      </c>
      <c r="E514">
        <v>297399</v>
      </c>
    </row>
    <row r="515" spans="1:7" x14ac:dyDescent="0.25">
      <c r="A515">
        <v>6432</v>
      </c>
      <c r="B515" t="s">
        <v>133</v>
      </c>
      <c r="C515" s="1">
        <v>44112</v>
      </c>
      <c r="D515" s="1">
        <v>44433</v>
      </c>
      <c r="E515">
        <v>297844</v>
      </c>
    </row>
    <row r="516" spans="1:7" x14ac:dyDescent="0.25">
      <c r="A516">
        <v>6432</v>
      </c>
      <c r="B516" t="s">
        <v>133</v>
      </c>
      <c r="C516" s="1">
        <v>44434</v>
      </c>
      <c r="D516" s="1">
        <v>44826</v>
      </c>
      <c r="E516">
        <v>297701</v>
      </c>
      <c r="F516">
        <v>147765</v>
      </c>
      <c r="G516">
        <v>149936</v>
      </c>
    </row>
    <row r="517" spans="1:7" x14ac:dyDescent="0.25">
      <c r="A517">
        <v>6432</v>
      </c>
      <c r="B517" t="s">
        <v>133</v>
      </c>
      <c r="C517" s="1">
        <v>44827</v>
      </c>
      <c r="D517" s="1">
        <v>117974</v>
      </c>
      <c r="E517">
        <v>296900</v>
      </c>
      <c r="F517">
        <v>147308</v>
      </c>
      <c r="G517">
        <v>149592</v>
      </c>
    </row>
    <row r="518" spans="1:7" x14ac:dyDescent="0.25">
      <c r="A518">
        <v>6433</v>
      </c>
      <c r="B518" t="s">
        <v>134</v>
      </c>
      <c r="C518" s="1">
        <v>43831</v>
      </c>
      <c r="D518" s="1">
        <v>44111</v>
      </c>
      <c r="E518">
        <v>274526</v>
      </c>
    </row>
    <row r="519" spans="1:7" x14ac:dyDescent="0.25">
      <c r="A519">
        <v>6433</v>
      </c>
      <c r="B519" t="s">
        <v>134</v>
      </c>
      <c r="C519" s="1">
        <v>44112</v>
      </c>
      <c r="D519" s="1">
        <v>44433</v>
      </c>
      <c r="E519">
        <v>275726</v>
      </c>
    </row>
    <row r="520" spans="1:7" x14ac:dyDescent="0.25">
      <c r="A520">
        <v>6433</v>
      </c>
      <c r="B520" t="s">
        <v>134</v>
      </c>
      <c r="C520" s="1">
        <v>44434</v>
      </c>
      <c r="D520" s="1">
        <v>44826</v>
      </c>
      <c r="E520">
        <v>275807</v>
      </c>
      <c r="F520">
        <v>138154</v>
      </c>
      <c r="G520">
        <v>137653</v>
      </c>
    </row>
    <row r="521" spans="1:7" x14ac:dyDescent="0.25">
      <c r="A521">
        <v>6433</v>
      </c>
      <c r="B521" t="s">
        <v>134</v>
      </c>
      <c r="C521" s="1">
        <v>44827</v>
      </c>
      <c r="D521" s="1">
        <v>117974</v>
      </c>
      <c r="E521">
        <v>276307</v>
      </c>
      <c r="F521">
        <v>138390</v>
      </c>
      <c r="G521">
        <v>137917</v>
      </c>
    </row>
    <row r="522" spans="1:7" x14ac:dyDescent="0.25">
      <c r="A522">
        <v>6434</v>
      </c>
      <c r="B522" t="s">
        <v>135</v>
      </c>
      <c r="C522" s="1">
        <v>43831</v>
      </c>
      <c r="D522" s="1">
        <v>44111</v>
      </c>
      <c r="E522">
        <v>236564</v>
      </c>
    </row>
    <row r="523" spans="1:7" x14ac:dyDescent="0.25">
      <c r="A523">
        <v>6434</v>
      </c>
      <c r="B523" t="s">
        <v>135</v>
      </c>
      <c r="C523" s="1">
        <v>44112</v>
      </c>
      <c r="D523" s="1">
        <v>44433</v>
      </c>
      <c r="E523">
        <v>236914</v>
      </c>
    </row>
    <row r="524" spans="1:7" x14ac:dyDescent="0.25">
      <c r="A524">
        <v>6434</v>
      </c>
      <c r="B524" t="s">
        <v>135</v>
      </c>
      <c r="C524" s="1">
        <v>44434</v>
      </c>
      <c r="D524" s="1">
        <v>44826</v>
      </c>
      <c r="E524">
        <v>237281</v>
      </c>
      <c r="F524">
        <v>115161</v>
      </c>
      <c r="G524">
        <v>122120</v>
      </c>
    </row>
    <row r="525" spans="1:7" x14ac:dyDescent="0.25">
      <c r="A525">
        <v>6434</v>
      </c>
      <c r="B525" t="s">
        <v>135</v>
      </c>
      <c r="C525" s="1">
        <v>44827</v>
      </c>
      <c r="D525" s="1">
        <v>117974</v>
      </c>
      <c r="E525">
        <v>237041</v>
      </c>
      <c r="F525">
        <v>114959</v>
      </c>
      <c r="G525">
        <v>122082</v>
      </c>
    </row>
    <row r="526" spans="1:7" x14ac:dyDescent="0.25">
      <c r="A526">
        <v>6435</v>
      </c>
      <c r="B526" t="s">
        <v>136</v>
      </c>
      <c r="C526" s="1">
        <v>43831</v>
      </c>
      <c r="D526" s="1">
        <v>44111</v>
      </c>
      <c r="E526">
        <v>418950</v>
      </c>
    </row>
    <row r="527" spans="1:7" x14ac:dyDescent="0.25">
      <c r="A527">
        <v>6435</v>
      </c>
      <c r="B527" t="s">
        <v>136</v>
      </c>
      <c r="C527" s="1">
        <v>44112</v>
      </c>
      <c r="D527" s="1">
        <v>44433</v>
      </c>
      <c r="E527">
        <v>420552</v>
      </c>
    </row>
    <row r="528" spans="1:7" x14ac:dyDescent="0.25">
      <c r="A528">
        <v>6435</v>
      </c>
      <c r="B528" t="s">
        <v>136</v>
      </c>
      <c r="C528" s="1">
        <v>44434</v>
      </c>
      <c r="D528" s="1">
        <v>44826</v>
      </c>
      <c r="E528">
        <v>421689</v>
      </c>
      <c r="F528">
        <v>207943</v>
      </c>
      <c r="G528">
        <v>213746</v>
      </c>
    </row>
    <row r="529" spans="1:7" x14ac:dyDescent="0.25">
      <c r="A529">
        <v>6435</v>
      </c>
      <c r="B529" t="s">
        <v>136</v>
      </c>
      <c r="C529" s="1">
        <v>44827</v>
      </c>
      <c r="D529" s="1">
        <v>117974</v>
      </c>
      <c r="E529">
        <v>423465</v>
      </c>
      <c r="F529">
        <v>208904</v>
      </c>
      <c r="G529">
        <v>214561</v>
      </c>
    </row>
    <row r="530" spans="1:7" x14ac:dyDescent="0.25">
      <c r="A530">
        <v>6436</v>
      </c>
      <c r="B530" t="s">
        <v>137</v>
      </c>
      <c r="C530" s="1">
        <v>43831</v>
      </c>
      <c r="D530" s="1">
        <v>44111</v>
      </c>
      <c r="E530">
        <v>237735</v>
      </c>
    </row>
    <row r="531" spans="1:7" x14ac:dyDescent="0.25">
      <c r="A531">
        <v>6436</v>
      </c>
      <c r="B531" t="s">
        <v>137</v>
      </c>
      <c r="C531" s="1">
        <v>44112</v>
      </c>
      <c r="D531" s="1">
        <v>44433</v>
      </c>
      <c r="E531">
        <v>238558</v>
      </c>
    </row>
    <row r="532" spans="1:7" x14ac:dyDescent="0.25">
      <c r="A532">
        <v>6436</v>
      </c>
      <c r="B532" t="s">
        <v>137</v>
      </c>
      <c r="C532" s="1">
        <v>44434</v>
      </c>
      <c r="D532" s="1">
        <v>44826</v>
      </c>
      <c r="E532">
        <v>239264</v>
      </c>
      <c r="F532">
        <v>117253</v>
      </c>
      <c r="G532">
        <v>122011</v>
      </c>
    </row>
    <row r="533" spans="1:7" x14ac:dyDescent="0.25">
      <c r="A533">
        <v>6436</v>
      </c>
      <c r="B533" t="s">
        <v>137</v>
      </c>
      <c r="C533" s="1">
        <v>44827</v>
      </c>
      <c r="D533" s="1">
        <v>117974</v>
      </c>
      <c r="E533">
        <v>239276</v>
      </c>
      <c r="F533">
        <v>117236</v>
      </c>
      <c r="G533">
        <v>122040</v>
      </c>
    </row>
    <row r="534" spans="1:7" x14ac:dyDescent="0.25">
      <c r="A534">
        <v>6437</v>
      </c>
      <c r="B534" t="s">
        <v>138</v>
      </c>
      <c r="C534" s="1">
        <v>43831</v>
      </c>
      <c r="D534" s="1">
        <v>44111</v>
      </c>
      <c r="E534">
        <v>96798</v>
      </c>
    </row>
    <row r="535" spans="1:7" x14ac:dyDescent="0.25">
      <c r="A535">
        <v>6437</v>
      </c>
      <c r="B535" t="s">
        <v>138</v>
      </c>
      <c r="C535" s="1">
        <v>44112</v>
      </c>
      <c r="D535" s="1">
        <v>44433</v>
      </c>
      <c r="E535">
        <v>96703</v>
      </c>
    </row>
    <row r="536" spans="1:7" x14ac:dyDescent="0.25">
      <c r="A536">
        <v>6437</v>
      </c>
      <c r="B536" t="s">
        <v>138</v>
      </c>
      <c r="C536" s="1">
        <v>44434</v>
      </c>
      <c r="D536" s="1">
        <v>44826</v>
      </c>
      <c r="E536">
        <v>96754</v>
      </c>
      <c r="F536">
        <v>47806</v>
      </c>
      <c r="G536">
        <v>48948</v>
      </c>
    </row>
    <row r="537" spans="1:7" x14ac:dyDescent="0.25">
      <c r="A537">
        <v>6437</v>
      </c>
      <c r="B537" t="s">
        <v>138</v>
      </c>
      <c r="C537" s="1">
        <v>44827</v>
      </c>
      <c r="D537" s="1">
        <v>117974</v>
      </c>
      <c r="E537">
        <v>96953</v>
      </c>
      <c r="F537">
        <v>47911</v>
      </c>
      <c r="G537">
        <v>49042</v>
      </c>
    </row>
    <row r="538" spans="1:7" x14ac:dyDescent="0.25">
      <c r="A538">
        <v>6438</v>
      </c>
      <c r="B538" t="s">
        <v>139</v>
      </c>
      <c r="C538" s="1">
        <v>43831</v>
      </c>
      <c r="D538" s="1">
        <v>44111</v>
      </c>
      <c r="E538">
        <v>354092</v>
      </c>
    </row>
    <row r="539" spans="1:7" x14ac:dyDescent="0.25">
      <c r="A539">
        <v>6438</v>
      </c>
      <c r="B539" t="s">
        <v>139</v>
      </c>
      <c r="C539" s="1">
        <v>44112</v>
      </c>
      <c r="D539" s="1">
        <v>44433</v>
      </c>
      <c r="E539">
        <v>355813</v>
      </c>
    </row>
    <row r="540" spans="1:7" x14ac:dyDescent="0.25">
      <c r="A540">
        <v>6438</v>
      </c>
      <c r="B540" t="s">
        <v>139</v>
      </c>
      <c r="C540" s="1">
        <v>44434</v>
      </c>
      <c r="D540" s="1">
        <v>44826</v>
      </c>
      <c r="E540">
        <v>356542</v>
      </c>
      <c r="F540">
        <v>175634</v>
      </c>
      <c r="G540">
        <v>180908</v>
      </c>
    </row>
    <row r="541" spans="1:7" x14ac:dyDescent="0.25">
      <c r="A541">
        <v>6438</v>
      </c>
      <c r="B541" t="s">
        <v>139</v>
      </c>
      <c r="C541" s="1">
        <v>44827</v>
      </c>
      <c r="D541" s="1">
        <v>117974</v>
      </c>
      <c r="E541">
        <v>357466</v>
      </c>
      <c r="F541">
        <v>176079</v>
      </c>
      <c r="G541">
        <v>181387</v>
      </c>
    </row>
    <row r="542" spans="1:7" x14ac:dyDescent="0.25">
      <c r="A542">
        <v>6439</v>
      </c>
      <c r="B542" t="s">
        <v>140</v>
      </c>
      <c r="C542" s="1">
        <v>43831</v>
      </c>
      <c r="D542" s="1">
        <v>44111</v>
      </c>
      <c r="E542">
        <v>187157</v>
      </c>
    </row>
    <row r="543" spans="1:7" x14ac:dyDescent="0.25">
      <c r="A543">
        <v>6439</v>
      </c>
      <c r="B543" t="s">
        <v>140</v>
      </c>
      <c r="C543" s="1">
        <v>44112</v>
      </c>
      <c r="D543" s="1">
        <v>44433</v>
      </c>
      <c r="E543">
        <v>187160</v>
      </c>
    </row>
    <row r="544" spans="1:7" x14ac:dyDescent="0.25">
      <c r="A544">
        <v>6439</v>
      </c>
      <c r="B544" t="s">
        <v>140</v>
      </c>
      <c r="C544" s="1">
        <v>44434</v>
      </c>
      <c r="D544" s="1">
        <v>44826</v>
      </c>
      <c r="E544">
        <v>187433</v>
      </c>
      <c r="F544">
        <v>92092</v>
      </c>
      <c r="G544">
        <v>95341</v>
      </c>
    </row>
    <row r="545" spans="1:7" x14ac:dyDescent="0.25">
      <c r="A545">
        <v>6439</v>
      </c>
      <c r="B545" t="s">
        <v>140</v>
      </c>
      <c r="C545" s="1">
        <v>44827</v>
      </c>
      <c r="D545" s="1">
        <v>117974</v>
      </c>
      <c r="E545">
        <v>187229</v>
      </c>
      <c r="F545">
        <v>91919</v>
      </c>
      <c r="G545">
        <v>95310</v>
      </c>
    </row>
    <row r="546" spans="1:7" x14ac:dyDescent="0.25">
      <c r="A546">
        <v>6440</v>
      </c>
      <c r="B546" t="s">
        <v>141</v>
      </c>
      <c r="C546" s="1">
        <v>43831</v>
      </c>
      <c r="D546" s="1">
        <v>44111</v>
      </c>
      <c r="E546">
        <v>306460</v>
      </c>
    </row>
    <row r="547" spans="1:7" x14ac:dyDescent="0.25">
      <c r="A547">
        <v>6440</v>
      </c>
      <c r="B547" t="s">
        <v>141</v>
      </c>
      <c r="C547" s="1">
        <v>44112</v>
      </c>
      <c r="D547" s="1">
        <v>44433</v>
      </c>
      <c r="E547">
        <v>308339</v>
      </c>
    </row>
    <row r="548" spans="1:7" x14ac:dyDescent="0.25">
      <c r="A548">
        <v>6440</v>
      </c>
      <c r="B548" t="s">
        <v>141</v>
      </c>
      <c r="C548" s="1">
        <v>44434</v>
      </c>
      <c r="D548" s="1">
        <v>44826</v>
      </c>
      <c r="E548">
        <v>310353</v>
      </c>
      <c r="F548">
        <v>153604</v>
      </c>
      <c r="G548">
        <v>156749</v>
      </c>
    </row>
    <row r="549" spans="1:7" x14ac:dyDescent="0.25">
      <c r="A549">
        <v>6440</v>
      </c>
      <c r="B549" t="s">
        <v>141</v>
      </c>
      <c r="C549" s="1">
        <v>44827</v>
      </c>
      <c r="D549" s="1">
        <v>117974</v>
      </c>
      <c r="E549">
        <v>311661</v>
      </c>
      <c r="F549">
        <v>154192</v>
      </c>
      <c r="G549">
        <v>157469</v>
      </c>
    </row>
    <row r="550" spans="1:7" x14ac:dyDescent="0.25">
      <c r="A550">
        <v>6531</v>
      </c>
      <c r="B550" t="s">
        <v>142</v>
      </c>
      <c r="C550" s="1">
        <v>43831</v>
      </c>
      <c r="D550" s="1">
        <v>44111</v>
      </c>
      <c r="E550">
        <v>268876</v>
      </c>
    </row>
    <row r="551" spans="1:7" x14ac:dyDescent="0.25">
      <c r="A551">
        <v>6531</v>
      </c>
      <c r="B551" t="s">
        <v>142</v>
      </c>
      <c r="C551" s="1">
        <v>44112</v>
      </c>
      <c r="D551" s="1">
        <v>44433</v>
      </c>
      <c r="E551">
        <v>270688</v>
      </c>
    </row>
    <row r="552" spans="1:7" x14ac:dyDescent="0.25">
      <c r="A552">
        <v>6531</v>
      </c>
      <c r="B552" t="s">
        <v>142</v>
      </c>
      <c r="C552" s="1">
        <v>44434</v>
      </c>
      <c r="D552" s="1">
        <v>44826</v>
      </c>
      <c r="E552">
        <v>271667</v>
      </c>
      <c r="F552">
        <v>134060</v>
      </c>
      <c r="G552">
        <v>137607</v>
      </c>
    </row>
    <row r="553" spans="1:7" x14ac:dyDescent="0.25">
      <c r="A553">
        <v>6531</v>
      </c>
      <c r="B553" t="s">
        <v>142</v>
      </c>
      <c r="C553" s="1">
        <v>44827</v>
      </c>
      <c r="D553" s="1">
        <v>117974</v>
      </c>
      <c r="E553">
        <v>272874</v>
      </c>
      <c r="F553">
        <v>134692</v>
      </c>
      <c r="G553">
        <v>138182</v>
      </c>
    </row>
    <row r="554" spans="1:7" x14ac:dyDescent="0.25">
      <c r="A554">
        <v>6532</v>
      </c>
      <c r="B554" t="s">
        <v>143</v>
      </c>
      <c r="C554" s="1">
        <v>43831</v>
      </c>
      <c r="D554" s="1">
        <v>44111</v>
      </c>
      <c r="E554">
        <v>253777</v>
      </c>
    </row>
    <row r="555" spans="1:7" x14ac:dyDescent="0.25">
      <c r="A555">
        <v>6532</v>
      </c>
      <c r="B555" t="s">
        <v>143</v>
      </c>
      <c r="C555" s="1">
        <v>44112</v>
      </c>
      <c r="D555" s="1">
        <v>44433</v>
      </c>
      <c r="E555">
        <v>253319</v>
      </c>
    </row>
    <row r="556" spans="1:7" x14ac:dyDescent="0.25">
      <c r="A556">
        <v>6532</v>
      </c>
      <c r="B556" t="s">
        <v>143</v>
      </c>
      <c r="C556" s="1">
        <v>44434</v>
      </c>
      <c r="D556" s="1">
        <v>44826</v>
      </c>
      <c r="E556">
        <v>253373</v>
      </c>
      <c r="F556">
        <v>124944</v>
      </c>
      <c r="G556">
        <v>128429</v>
      </c>
    </row>
    <row r="557" spans="1:7" x14ac:dyDescent="0.25">
      <c r="A557">
        <v>6532</v>
      </c>
      <c r="B557" t="s">
        <v>143</v>
      </c>
      <c r="C557" s="1">
        <v>44827</v>
      </c>
      <c r="D557" s="1">
        <v>117974</v>
      </c>
      <c r="E557">
        <v>253364</v>
      </c>
      <c r="F557">
        <v>124887</v>
      </c>
      <c r="G557">
        <v>128477</v>
      </c>
    </row>
    <row r="558" spans="1:7" x14ac:dyDescent="0.25">
      <c r="A558">
        <v>6533</v>
      </c>
      <c r="B558" t="s">
        <v>144</v>
      </c>
      <c r="C558" s="1">
        <v>43831</v>
      </c>
      <c r="D558" s="1">
        <v>44111</v>
      </c>
      <c r="E558">
        <v>172083</v>
      </c>
    </row>
    <row r="559" spans="1:7" x14ac:dyDescent="0.25">
      <c r="A559">
        <v>6533</v>
      </c>
      <c r="B559" t="s">
        <v>144</v>
      </c>
      <c r="C559" s="1">
        <v>44112</v>
      </c>
      <c r="D559" s="1">
        <v>44433</v>
      </c>
      <c r="E559">
        <v>171912</v>
      </c>
    </row>
    <row r="560" spans="1:7" x14ac:dyDescent="0.25">
      <c r="A560">
        <v>6533</v>
      </c>
      <c r="B560" t="s">
        <v>144</v>
      </c>
      <c r="C560" s="1">
        <v>44434</v>
      </c>
      <c r="D560" s="1">
        <v>44826</v>
      </c>
      <c r="E560">
        <v>172291</v>
      </c>
      <c r="F560">
        <v>85533</v>
      </c>
      <c r="G560">
        <v>86758</v>
      </c>
    </row>
    <row r="561" spans="1:7" x14ac:dyDescent="0.25">
      <c r="A561">
        <v>6533</v>
      </c>
      <c r="B561" t="s">
        <v>144</v>
      </c>
      <c r="C561" s="1">
        <v>44827</v>
      </c>
      <c r="D561" s="1">
        <v>117974</v>
      </c>
      <c r="E561">
        <v>172759</v>
      </c>
      <c r="F561">
        <v>85786</v>
      </c>
      <c r="G561">
        <v>86973</v>
      </c>
    </row>
    <row r="562" spans="1:7" x14ac:dyDescent="0.25">
      <c r="A562">
        <v>6534</v>
      </c>
      <c r="B562" t="s">
        <v>145</v>
      </c>
      <c r="C562" s="1">
        <v>43831</v>
      </c>
      <c r="D562" s="1">
        <v>44111</v>
      </c>
      <c r="E562">
        <v>246648</v>
      </c>
    </row>
    <row r="563" spans="1:7" x14ac:dyDescent="0.25">
      <c r="A563">
        <v>6534</v>
      </c>
      <c r="B563" t="s">
        <v>145</v>
      </c>
      <c r="C563" s="1">
        <v>44112</v>
      </c>
      <c r="D563" s="1">
        <v>44433</v>
      </c>
      <c r="E563">
        <v>247084</v>
      </c>
    </row>
    <row r="564" spans="1:7" x14ac:dyDescent="0.25">
      <c r="A564">
        <v>6534</v>
      </c>
      <c r="B564" t="s">
        <v>145</v>
      </c>
      <c r="C564" s="1">
        <v>44434</v>
      </c>
      <c r="D564" s="1">
        <v>44826</v>
      </c>
      <c r="E564">
        <v>245903</v>
      </c>
      <c r="F564">
        <v>121031</v>
      </c>
      <c r="G564">
        <v>124872</v>
      </c>
    </row>
    <row r="565" spans="1:7" x14ac:dyDescent="0.25">
      <c r="A565">
        <v>6534</v>
      </c>
      <c r="B565" t="s">
        <v>145</v>
      </c>
      <c r="C565" s="1">
        <v>44827</v>
      </c>
      <c r="D565" s="1">
        <v>117974</v>
      </c>
      <c r="E565">
        <v>246097</v>
      </c>
      <c r="F565">
        <v>120944</v>
      </c>
      <c r="G565">
        <v>125153</v>
      </c>
    </row>
    <row r="566" spans="1:7" x14ac:dyDescent="0.25">
      <c r="A566">
        <v>6535</v>
      </c>
      <c r="B566" t="s">
        <v>146</v>
      </c>
      <c r="C566" s="1">
        <v>43831</v>
      </c>
      <c r="D566" s="1">
        <v>44111</v>
      </c>
      <c r="E566">
        <v>105878</v>
      </c>
    </row>
    <row r="567" spans="1:7" x14ac:dyDescent="0.25">
      <c r="A567">
        <v>6535</v>
      </c>
      <c r="B567" t="s">
        <v>146</v>
      </c>
      <c r="C567" s="1">
        <v>44112</v>
      </c>
      <c r="D567" s="1">
        <v>44433</v>
      </c>
      <c r="E567">
        <v>105643</v>
      </c>
    </row>
    <row r="568" spans="1:7" x14ac:dyDescent="0.25">
      <c r="A568">
        <v>6535</v>
      </c>
      <c r="B568" t="s">
        <v>146</v>
      </c>
      <c r="C568" s="1">
        <v>44434</v>
      </c>
      <c r="D568" s="1">
        <v>44826</v>
      </c>
      <c r="E568">
        <v>105506</v>
      </c>
      <c r="F568">
        <v>52728</v>
      </c>
      <c r="G568">
        <v>52778</v>
      </c>
    </row>
    <row r="569" spans="1:7" x14ac:dyDescent="0.25">
      <c r="A569">
        <v>6535</v>
      </c>
      <c r="B569" t="s">
        <v>146</v>
      </c>
      <c r="C569" s="1">
        <v>44827</v>
      </c>
      <c r="D569" s="1">
        <v>117974</v>
      </c>
      <c r="E569">
        <v>105671</v>
      </c>
      <c r="F569">
        <v>52744</v>
      </c>
      <c r="G569">
        <v>52927</v>
      </c>
    </row>
    <row r="570" spans="1:7" x14ac:dyDescent="0.25">
      <c r="A570">
        <v>6611</v>
      </c>
      <c r="B570" t="s">
        <v>147</v>
      </c>
      <c r="C570" s="1">
        <v>43831</v>
      </c>
      <c r="D570" s="1">
        <v>44111</v>
      </c>
      <c r="E570">
        <v>201585</v>
      </c>
    </row>
    <row r="571" spans="1:7" x14ac:dyDescent="0.25">
      <c r="A571">
        <v>6611</v>
      </c>
      <c r="B571" t="s">
        <v>147</v>
      </c>
      <c r="C571" s="1">
        <v>44112</v>
      </c>
      <c r="D571" s="1">
        <v>44433</v>
      </c>
      <c r="E571">
        <v>202137</v>
      </c>
    </row>
    <row r="572" spans="1:7" x14ac:dyDescent="0.25">
      <c r="A572">
        <v>6611</v>
      </c>
      <c r="B572" t="s">
        <v>147</v>
      </c>
      <c r="C572" s="1">
        <v>44434</v>
      </c>
      <c r="D572" s="1">
        <v>44826</v>
      </c>
      <c r="E572">
        <v>201048</v>
      </c>
      <c r="F572">
        <v>98897</v>
      </c>
      <c r="G572">
        <v>102151</v>
      </c>
    </row>
    <row r="573" spans="1:7" x14ac:dyDescent="0.25">
      <c r="A573">
        <v>6611</v>
      </c>
      <c r="B573" t="s">
        <v>147</v>
      </c>
      <c r="C573" s="1">
        <v>44827</v>
      </c>
      <c r="D573" s="1">
        <v>117974</v>
      </c>
      <c r="E573">
        <v>200406</v>
      </c>
      <c r="F573">
        <v>98639</v>
      </c>
      <c r="G573">
        <v>101767</v>
      </c>
    </row>
    <row r="574" spans="1:7" x14ac:dyDescent="0.25">
      <c r="A574">
        <v>6631</v>
      </c>
      <c r="B574" t="s">
        <v>148</v>
      </c>
      <c r="C574" s="1">
        <v>43831</v>
      </c>
      <c r="D574" s="1">
        <v>44111</v>
      </c>
      <c r="E574">
        <v>222584</v>
      </c>
    </row>
    <row r="575" spans="1:7" x14ac:dyDescent="0.25">
      <c r="A575">
        <v>6631</v>
      </c>
      <c r="B575" t="s">
        <v>148</v>
      </c>
      <c r="C575" s="1">
        <v>44112</v>
      </c>
      <c r="D575" s="1">
        <v>44433</v>
      </c>
      <c r="E575">
        <v>223145</v>
      </c>
    </row>
    <row r="576" spans="1:7" x14ac:dyDescent="0.25">
      <c r="A576">
        <v>6631</v>
      </c>
      <c r="B576" t="s">
        <v>148</v>
      </c>
      <c r="C576" s="1">
        <v>44434</v>
      </c>
      <c r="D576" s="1">
        <v>44826</v>
      </c>
      <c r="E576">
        <v>223023</v>
      </c>
      <c r="F576">
        <v>110769</v>
      </c>
      <c r="G576">
        <v>112254</v>
      </c>
    </row>
    <row r="577" spans="1:7" x14ac:dyDescent="0.25">
      <c r="A577">
        <v>6631</v>
      </c>
      <c r="B577" t="s">
        <v>148</v>
      </c>
      <c r="C577" s="1">
        <v>44827</v>
      </c>
      <c r="D577" s="1">
        <v>117974</v>
      </c>
      <c r="E577">
        <v>223572</v>
      </c>
      <c r="F577">
        <v>111181</v>
      </c>
      <c r="G577">
        <v>112391</v>
      </c>
    </row>
    <row r="578" spans="1:7" x14ac:dyDescent="0.25">
      <c r="A578">
        <v>6632</v>
      </c>
      <c r="B578" t="s">
        <v>149</v>
      </c>
      <c r="C578" s="1">
        <v>43831</v>
      </c>
      <c r="D578" s="1">
        <v>44111</v>
      </c>
      <c r="E578">
        <v>120829</v>
      </c>
    </row>
    <row r="579" spans="1:7" x14ac:dyDescent="0.25">
      <c r="A579">
        <v>6632</v>
      </c>
      <c r="B579" t="s">
        <v>149</v>
      </c>
      <c r="C579" s="1">
        <v>44112</v>
      </c>
      <c r="D579" s="1">
        <v>44433</v>
      </c>
      <c r="E579">
        <v>120719</v>
      </c>
    </row>
    <row r="580" spans="1:7" x14ac:dyDescent="0.25">
      <c r="A580">
        <v>6632</v>
      </c>
      <c r="B580" t="s">
        <v>149</v>
      </c>
      <c r="C580" s="1">
        <v>44434</v>
      </c>
      <c r="D580" s="1">
        <v>44826</v>
      </c>
      <c r="E580">
        <v>120304</v>
      </c>
      <c r="F580">
        <v>60363</v>
      </c>
      <c r="G580">
        <v>59941</v>
      </c>
    </row>
    <row r="581" spans="1:7" x14ac:dyDescent="0.25">
      <c r="A581">
        <v>6632</v>
      </c>
      <c r="B581" t="s">
        <v>149</v>
      </c>
      <c r="C581" s="1">
        <v>44827</v>
      </c>
      <c r="D581" s="1">
        <v>117974</v>
      </c>
      <c r="E581">
        <v>120163</v>
      </c>
      <c r="F581">
        <v>60242</v>
      </c>
      <c r="G581">
        <v>59921</v>
      </c>
    </row>
    <row r="582" spans="1:7" x14ac:dyDescent="0.25">
      <c r="A582">
        <v>6633</v>
      </c>
      <c r="B582" t="s">
        <v>150</v>
      </c>
      <c r="C582" s="1">
        <v>43831</v>
      </c>
      <c r="D582" s="1">
        <v>44111</v>
      </c>
      <c r="E582">
        <v>236633</v>
      </c>
    </row>
    <row r="583" spans="1:7" x14ac:dyDescent="0.25">
      <c r="A583">
        <v>6633</v>
      </c>
      <c r="B583" t="s">
        <v>150</v>
      </c>
      <c r="C583" s="1">
        <v>44112</v>
      </c>
      <c r="D583" s="1">
        <v>44433</v>
      </c>
      <c r="E583">
        <v>236764</v>
      </c>
    </row>
    <row r="584" spans="1:7" x14ac:dyDescent="0.25">
      <c r="A584">
        <v>6633</v>
      </c>
      <c r="B584" t="s">
        <v>150</v>
      </c>
      <c r="C584" s="1">
        <v>44434</v>
      </c>
      <c r="D584" s="1">
        <v>44826</v>
      </c>
      <c r="E584">
        <v>237007</v>
      </c>
      <c r="F584">
        <v>116369</v>
      </c>
      <c r="G584">
        <v>120638</v>
      </c>
    </row>
    <row r="585" spans="1:7" x14ac:dyDescent="0.25">
      <c r="A585">
        <v>6633</v>
      </c>
      <c r="B585" t="s">
        <v>150</v>
      </c>
      <c r="C585" s="1">
        <v>44827</v>
      </c>
      <c r="D585" s="1">
        <v>117974</v>
      </c>
      <c r="E585">
        <v>237268</v>
      </c>
      <c r="F585">
        <v>116452</v>
      </c>
      <c r="G585">
        <v>120816</v>
      </c>
    </row>
    <row r="586" spans="1:7" x14ac:dyDescent="0.25">
      <c r="A586">
        <v>6634</v>
      </c>
      <c r="B586" t="s">
        <v>151</v>
      </c>
      <c r="C586" s="1">
        <v>43831</v>
      </c>
      <c r="D586" s="1">
        <v>44111</v>
      </c>
      <c r="E586">
        <v>180222</v>
      </c>
    </row>
    <row r="587" spans="1:7" x14ac:dyDescent="0.25">
      <c r="A587">
        <v>6634</v>
      </c>
      <c r="B587" t="s">
        <v>151</v>
      </c>
      <c r="C587" s="1">
        <v>44112</v>
      </c>
      <c r="D587" s="1">
        <v>44433</v>
      </c>
      <c r="E587">
        <v>179673</v>
      </c>
    </row>
    <row r="588" spans="1:7" x14ac:dyDescent="0.25">
      <c r="A588">
        <v>6634</v>
      </c>
      <c r="B588" t="s">
        <v>151</v>
      </c>
      <c r="C588" s="1">
        <v>44434</v>
      </c>
      <c r="D588" s="1">
        <v>44826</v>
      </c>
      <c r="E588">
        <v>179840</v>
      </c>
      <c r="F588">
        <v>90114</v>
      </c>
      <c r="G588">
        <v>89726</v>
      </c>
    </row>
    <row r="589" spans="1:7" x14ac:dyDescent="0.25">
      <c r="A589">
        <v>6634</v>
      </c>
      <c r="B589" t="s">
        <v>151</v>
      </c>
      <c r="C589" s="1">
        <v>44827</v>
      </c>
      <c r="D589" s="1">
        <v>117974</v>
      </c>
      <c r="E589">
        <v>180052</v>
      </c>
      <c r="F589">
        <v>90256</v>
      </c>
      <c r="G589">
        <v>89796</v>
      </c>
    </row>
    <row r="590" spans="1:7" x14ac:dyDescent="0.25">
      <c r="A590">
        <v>6635</v>
      </c>
      <c r="B590" t="s">
        <v>152</v>
      </c>
      <c r="C590" s="1">
        <v>43831</v>
      </c>
      <c r="D590" s="1">
        <v>44111</v>
      </c>
      <c r="E590">
        <v>156953</v>
      </c>
    </row>
    <row r="591" spans="1:7" x14ac:dyDescent="0.25">
      <c r="A591">
        <v>6635</v>
      </c>
      <c r="B591" t="s">
        <v>152</v>
      </c>
      <c r="C591" s="1">
        <v>44112</v>
      </c>
      <c r="D591" s="1">
        <v>44433</v>
      </c>
      <c r="E591">
        <v>156406</v>
      </c>
    </row>
    <row r="592" spans="1:7" x14ac:dyDescent="0.25">
      <c r="A592">
        <v>6635</v>
      </c>
      <c r="B592" t="s">
        <v>152</v>
      </c>
      <c r="C592" s="1">
        <v>44434</v>
      </c>
      <c r="D592" s="1">
        <v>44826</v>
      </c>
      <c r="E592">
        <v>156528</v>
      </c>
      <c r="F592">
        <v>77946</v>
      </c>
      <c r="G592">
        <v>78582</v>
      </c>
    </row>
    <row r="593" spans="1:7" x14ac:dyDescent="0.25">
      <c r="A593">
        <v>6635</v>
      </c>
      <c r="B593" t="s">
        <v>152</v>
      </c>
      <c r="C593" s="1">
        <v>44827</v>
      </c>
      <c r="D593" s="1">
        <v>117974</v>
      </c>
      <c r="E593">
        <v>156513</v>
      </c>
      <c r="F593">
        <v>78038</v>
      </c>
      <c r="G593">
        <v>78475</v>
      </c>
    </row>
    <row r="594" spans="1:7" x14ac:dyDescent="0.25">
      <c r="A594">
        <v>6636</v>
      </c>
      <c r="B594" t="s">
        <v>153</v>
      </c>
      <c r="C594" s="1">
        <v>43831</v>
      </c>
      <c r="D594" s="1">
        <v>44111</v>
      </c>
      <c r="E594">
        <v>101017</v>
      </c>
    </row>
    <row r="595" spans="1:7" x14ac:dyDescent="0.25">
      <c r="A595">
        <v>6636</v>
      </c>
      <c r="B595" t="s">
        <v>153</v>
      </c>
      <c r="C595" s="1">
        <v>44112</v>
      </c>
      <c r="D595" s="1">
        <v>44433</v>
      </c>
      <c r="E595">
        <v>100629</v>
      </c>
    </row>
    <row r="596" spans="1:7" x14ac:dyDescent="0.25">
      <c r="A596">
        <v>6636</v>
      </c>
      <c r="B596" t="s">
        <v>153</v>
      </c>
      <c r="C596" s="1">
        <v>44434</v>
      </c>
      <c r="D596" s="1">
        <v>44826</v>
      </c>
      <c r="E596">
        <v>100046</v>
      </c>
      <c r="F596">
        <v>49620</v>
      </c>
      <c r="G596">
        <v>50426</v>
      </c>
    </row>
    <row r="597" spans="1:7" x14ac:dyDescent="0.25">
      <c r="A597">
        <v>6636</v>
      </c>
      <c r="B597" t="s">
        <v>153</v>
      </c>
      <c r="C597" s="1">
        <v>44827</v>
      </c>
      <c r="D597" s="1">
        <v>117974</v>
      </c>
      <c r="E597">
        <v>99714</v>
      </c>
      <c r="F597">
        <v>49379</v>
      </c>
      <c r="G597">
        <v>50335</v>
      </c>
    </row>
    <row r="598" spans="1:7" x14ac:dyDescent="0.25">
      <c r="A598">
        <v>7</v>
      </c>
      <c r="B598" t="s">
        <v>154</v>
      </c>
      <c r="C598" s="1">
        <v>43831</v>
      </c>
      <c r="D598" s="1">
        <v>44111</v>
      </c>
      <c r="E598">
        <v>4084844</v>
      </c>
    </row>
    <row r="599" spans="1:7" x14ac:dyDescent="0.25">
      <c r="A599">
        <v>7</v>
      </c>
      <c r="B599" t="s">
        <v>154</v>
      </c>
      <c r="C599" s="1">
        <v>44112</v>
      </c>
      <c r="D599" s="1">
        <v>44433</v>
      </c>
      <c r="E599">
        <v>4093903</v>
      </c>
    </row>
    <row r="600" spans="1:7" x14ac:dyDescent="0.25">
      <c r="A600">
        <v>7</v>
      </c>
      <c r="B600" t="s">
        <v>154</v>
      </c>
      <c r="C600" s="1">
        <v>44434</v>
      </c>
      <c r="D600" s="1">
        <v>44826</v>
      </c>
      <c r="E600">
        <v>4098391</v>
      </c>
      <c r="F600">
        <v>2026105</v>
      </c>
      <c r="G600">
        <v>2072286</v>
      </c>
    </row>
    <row r="601" spans="1:7" x14ac:dyDescent="0.25">
      <c r="A601">
        <v>7</v>
      </c>
      <c r="B601" t="s">
        <v>154</v>
      </c>
      <c r="C601" s="1">
        <v>44827</v>
      </c>
      <c r="D601" s="1">
        <v>117974</v>
      </c>
      <c r="E601">
        <v>4106485</v>
      </c>
      <c r="F601">
        <v>2030323</v>
      </c>
      <c r="G601">
        <v>2076162</v>
      </c>
    </row>
    <row r="602" spans="1:7" x14ac:dyDescent="0.25">
      <c r="A602">
        <v>7111</v>
      </c>
      <c r="B602" t="s">
        <v>155</v>
      </c>
      <c r="C602" s="1">
        <v>43831</v>
      </c>
      <c r="D602" s="1">
        <v>44111</v>
      </c>
      <c r="E602">
        <v>114024</v>
      </c>
    </row>
    <row r="603" spans="1:7" x14ac:dyDescent="0.25">
      <c r="A603">
        <v>7111</v>
      </c>
      <c r="B603" t="s">
        <v>155</v>
      </c>
      <c r="C603" s="1">
        <v>44112</v>
      </c>
      <c r="D603" s="1">
        <v>44433</v>
      </c>
      <c r="E603">
        <v>114052</v>
      </c>
    </row>
    <row r="604" spans="1:7" x14ac:dyDescent="0.25">
      <c r="A604">
        <v>7111</v>
      </c>
      <c r="B604" t="s">
        <v>155</v>
      </c>
      <c r="C604" s="1">
        <v>44434</v>
      </c>
      <c r="D604" s="1">
        <v>44826</v>
      </c>
      <c r="E604">
        <v>113388</v>
      </c>
      <c r="F604">
        <v>55537</v>
      </c>
      <c r="G604">
        <v>57851</v>
      </c>
    </row>
    <row r="605" spans="1:7" x14ac:dyDescent="0.25">
      <c r="A605">
        <v>7111</v>
      </c>
      <c r="B605" t="s">
        <v>155</v>
      </c>
      <c r="C605" s="1">
        <v>44827</v>
      </c>
      <c r="D605" s="1">
        <v>117974</v>
      </c>
      <c r="E605">
        <v>113638</v>
      </c>
      <c r="F605">
        <v>55693</v>
      </c>
      <c r="G605">
        <v>57945</v>
      </c>
    </row>
    <row r="606" spans="1:7" x14ac:dyDescent="0.25">
      <c r="A606">
        <v>7131</v>
      </c>
      <c r="B606" t="s">
        <v>156</v>
      </c>
      <c r="C606" s="1">
        <v>43831</v>
      </c>
      <c r="D606" s="1">
        <v>44111</v>
      </c>
      <c r="E606">
        <v>129727</v>
      </c>
    </row>
    <row r="607" spans="1:7" x14ac:dyDescent="0.25">
      <c r="A607">
        <v>7131</v>
      </c>
      <c r="B607" t="s">
        <v>156</v>
      </c>
      <c r="C607" s="1">
        <v>44112</v>
      </c>
      <c r="D607" s="1">
        <v>44433</v>
      </c>
      <c r="E607">
        <v>130086</v>
      </c>
    </row>
    <row r="608" spans="1:7" x14ac:dyDescent="0.25">
      <c r="A608">
        <v>7131</v>
      </c>
      <c r="B608" t="s">
        <v>156</v>
      </c>
      <c r="C608" s="1">
        <v>44434</v>
      </c>
      <c r="D608" s="1">
        <v>44826</v>
      </c>
      <c r="E608">
        <v>130479</v>
      </c>
      <c r="F608">
        <v>64344</v>
      </c>
      <c r="G608">
        <v>66135</v>
      </c>
    </row>
    <row r="609" spans="1:7" x14ac:dyDescent="0.25">
      <c r="A609">
        <v>7131</v>
      </c>
      <c r="B609" t="s">
        <v>156</v>
      </c>
      <c r="C609" s="1">
        <v>44827</v>
      </c>
      <c r="D609" s="1">
        <v>117974</v>
      </c>
      <c r="E609">
        <v>128146</v>
      </c>
      <c r="F609">
        <v>63298</v>
      </c>
      <c r="G609">
        <v>64848</v>
      </c>
    </row>
    <row r="610" spans="1:7" x14ac:dyDescent="0.25">
      <c r="A610">
        <v>7132</v>
      </c>
      <c r="B610" t="s">
        <v>157</v>
      </c>
      <c r="C610" s="1">
        <v>43831</v>
      </c>
      <c r="D610" s="1">
        <v>44111</v>
      </c>
      <c r="E610">
        <v>128705</v>
      </c>
    </row>
    <row r="611" spans="1:7" x14ac:dyDescent="0.25">
      <c r="A611">
        <v>7132</v>
      </c>
      <c r="B611" t="s">
        <v>157</v>
      </c>
      <c r="C611" s="1">
        <v>44112</v>
      </c>
      <c r="D611" s="1">
        <v>44433</v>
      </c>
      <c r="E611">
        <v>128805</v>
      </c>
    </row>
    <row r="612" spans="1:7" x14ac:dyDescent="0.25">
      <c r="A612">
        <v>7132</v>
      </c>
      <c r="B612" t="s">
        <v>157</v>
      </c>
      <c r="C612" s="1">
        <v>44434</v>
      </c>
      <c r="D612" s="1">
        <v>44826</v>
      </c>
      <c r="E612">
        <v>129087</v>
      </c>
      <c r="F612">
        <v>63943</v>
      </c>
      <c r="G612">
        <v>65144</v>
      </c>
    </row>
    <row r="613" spans="1:7" x14ac:dyDescent="0.25">
      <c r="A613">
        <v>7132</v>
      </c>
      <c r="B613" t="s">
        <v>157</v>
      </c>
      <c r="C613" s="1">
        <v>44827</v>
      </c>
      <c r="D613" s="1">
        <v>117974</v>
      </c>
      <c r="E613">
        <v>129261</v>
      </c>
      <c r="F613">
        <v>64066</v>
      </c>
      <c r="G613">
        <v>65195</v>
      </c>
    </row>
    <row r="614" spans="1:7" x14ac:dyDescent="0.25">
      <c r="A614">
        <v>7133</v>
      </c>
      <c r="B614" t="s">
        <v>158</v>
      </c>
      <c r="C614" s="1">
        <v>43831</v>
      </c>
      <c r="D614" s="1">
        <v>44111</v>
      </c>
      <c r="E614">
        <v>158080</v>
      </c>
    </row>
    <row r="615" spans="1:7" x14ac:dyDescent="0.25">
      <c r="A615">
        <v>7133</v>
      </c>
      <c r="B615" t="s">
        <v>158</v>
      </c>
      <c r="C615" s="1">
        <v>44112</v>
      </c>
      <c r="D615" s="1">
        <v>44433</v>
      </c>
      <c r="E615">
        <v>158345</v>
      </c>
    </row>
    <row r="616" spans="1:7" x14ac:dyDescent="0.25">
      <c r="A616">
        <v>7133</v>
      </c>
      <c r="B616" t="s">
        <v>158</v>
      </c>
      <c r="C616" s="1">
        <v>44434</v>
      </c>
      <c r="D616" s="1">
        <v>44826</v>
      </c>
      <c r="E616">
        <v>158746</v>
      </c>
      <c r="F616">
        <v>77549</v>
      </c>
      <c r="G616">
        <v>81197</v>
      </c>
    </row>
    <row r="617" spans="1:7" x14ac:dyDescent="0.25">
      <c r="A617">
        <v>7133</v>
      </c>
      <c r="B617" t="s">
        <v>158</v>
      </c>
      <c r="C617" s="1">
        <v>44827</v>
      </c>
      <c r="D617" s="1">
        <v>117974</v>
      </c>
      <c r="E617">
        <v>159402</v>
      </c>
      <c r="F617">
        <v>77861</v>
      </c>
      <c r="G617">
        <v>81541</v>
      </c>
    </row>
    <row r="618" spans="1:7" x14ac:dyDescent="0.25">
      <c r="A618">
        <v>7134</v>
      </c>
      <c r="B618" t="s">
        <v>159</v>
      </c>
      <c r="C618" s="1">
        <v>43831</v>
      </c>
      <c r="D618" s="1">
        <v>44111</v>
      </c>
      <c r="E618">
        <v>80720</v>
      </c>
    </row>
    <row r="619" spans="1:7" x14ac:dyDescent="0.25">
      <c r="A619">
        <v>7134</v>
      </c>
      <c r="B619" t="s">
        <v>159</v>
      </c>
      <c r="C619" s="1">
        <v>44112</v>
      </c>
      <c r="D619" s="1">
        <v>44433</v>
      </c>
      <c r="E619">
        <v>80951</v>
      </c>
    </row>
    <row r="620" spans="1:7" x14ac:dyDescent="0.25">
      <c r="A620">
        <v>7134</v>
      </c>
      <c r="B620" t="s">
        <v>159</v>
      </c>
      <c r="C620" s="1">
        <v>44434</v>
      </c>
      <c r="D620" s="1">
        <v>44826</v>
      </c>
      <c r="E620">
        <v>80830</v>
      </c>
      <c r="F620">
        <v>40087</v>
      </c>
      <c r="G620">
        <v>40743</v>
      </c>
    </row>
    <row r="621" spans="1:7" x14ac:dyDescent="0.25">
      <c r="A621">
        <v>7134</v>
      </c>
      <c r="B621" t="s">
        <v>159</v>
      </c>
      <c r="C621" s="1">
        <v>44827</v>
      </c>
      <c r="D621" s="1">
        <v>117974</v>
      </c>
      <c r="E621">
        <v>80849</v>
      </c>
      <c r="F621">
        <v>40113</v>
      </c>
      <c r="G621">
        <v>40736</v>
      </c>
    </row>
    <row r="622" spans="1:7" x14ac:dyDescent="0.25">
      <c r="A622">
        <v>7135</v>
      </c>
      <c r="B622" t="s">
        <v>160</v>
      </c>
      <c r="C622" s="1">
        <v>43831</v>
      </c>
      <c r="D622" s="1">
        <v>44111</v>
      </c>
      <c r="E622">
        <v>61587</v>
      </c>
    </row>
    <row r="623" spans="1:7" x14ac:dyDescent="0.25">
      <c r="A623">
        <v>7135</v>
      </c>
      <c r="B623" t="s">
        <v>160</v>
      </c>
      <c r="C623" s="1">
        <v>44112</v>
      </c>
      <c r="D623" s="1">
        <v>44433</v>
      </c>
      <c r="E623">
        <v>61375</v>
      </c>
    </row>
    <row r="624" spans="1:7" x14ac:dyDescent="0.25">
      <c r="A624">
        <v>7135</v>
      </c>
      <c r="B624" t="s">
        <v>160</v>
      </c>
      <c r="C624" s="1">
        <v>44434</v>
      </c>
      <c r="D624" s="1">
        <v>44826</v>
      </c>
      <c r="E624">
        <v>61578</v>
      </c>
      <c r="F624">
        <v>30858</v>
      </c>
      <c r="G624">
        <v>30720</v>
      </c>
    </row>
    <row r="625" spans="1:7" x14ac:dyDescent="0.25">
      <c r="A625">
        <v>7135</v>
      </c>
      <c r="B625" t="s">
        <v>160</v>
      </c>
      <c r="C625" s="1">
        <v>44827</v>
      </c>
      <c r="D625" s="1">
        <v>117974</v>
      </c>
      <c r="E625">
        <v>61735</v>
      </c>
      <c r="F625">
        <v>30994</v>
      </c>
      <c r="G625">
        <v>30741</v>
      </c>
    </row>
    <row r="626" spans="1:7" x14ac:dyDescent="0.25">
      <c r="A626">
        <v>7137</v>
      </c>
      <c r="B626" t="s">
        <v>161</v>
      </c>
      <c r="C626" s="1">
        <v>43831</v>
      </c>
      <c r="D626" s="1">
        <v>44111</v>
      </c>
      <c r="E626">
        <v>214259</v>
      </c>
    </row>
    <row r="627" spans="1:7" x14ac:dyDescent="0.25">
      <c r="A627">
        <v>7137</v>
      </c>
      <c r="B627" t="s">
        <v>161</v>
      </c>
      <c r="C627" s="1">
        <v>44112</v>
      </c>
      <c r="D627" s="1">
        <v>44433</v>
      </c>
      <c r="E627">
        <v>214434</v>
      </c>
    </row>
    <row r="628" spans="1:7" x14ac:dyDescent="0.25">
      <c r="A628">
        <v>7137</v>
      </c>
      <c r="B628" t="s">
        <v>161</v>
      </c>
      <c r="C628" s="1">
        <v>44434</v>
      </c>
      <c r="D628" s="1">
        <v>44826</v>
      </c>
      <c r="E628">
        <v>214786</v>
      </c>
      <c r="F628">
        <v>106162</v>
      </c>
      <c r="G628">
        <v>108624</v>
      </c>
    </row>
    <row r="629" spans="1:7" x14ac:dyDescent="0.25">
      <c r="A629">
        <v>7137</v>
      </c>
      <c r="B629" t="s">
        <v>161</v>
      </c>
      <c r="C629" s="1">
        <v>44827</v>
      </c>
      <c r="D629" s="1">
        <v>117974</v>
      </c>
      <c r="E629">
        <v>215446</v>
      </c>
      <c r="F629">
        <v>106524</v>
      </c>
      <c r="G629">
        <v>108922</v>
      </c>
    </row>
    <row r="630" spans="1:7" x14ac:dyDescent="0.25">
      <c r="A630">
        <v>7138</v>
      </c>
      <c r="B630" t="s">
        <v>162</v>
      </c>
      <c r="C630" s="1">
        <v>43831</v>
      </c>
      <c r="D630" s="1">
        <v>44111</v>
      </c>
      <c r="E630">
        <v>181941</v>
      </c>
    </row>
    <row r="631" spans="1:7" x14ac:dyDescent="0.25">
      <c r="A631">
        <v>7138</v>
      </c>
      <c r="B631" t="s">
        <v>162</v>
      </c>
      <c r="C631" s="1">
        <v>44112</v>
      </c>
      <c r="D631" s="1">
        <v>44433</v>
      </c>
      <c r="E631">
        <v>182811</v>
      </c>
    </row>
    <row r="632" spans="1:7" x14ac:dyDescent="0.25">
      <c r="A632">
        <v>7138</v>
      </c>
      <c r="B632" t="s">
        <v>162</v>
      </c>
      <c r="C632" s="1">
        <v>44434</v>
      </c>
      <c r="D632" s="1">
        <v>44826</v>
      </c>
      <c r="E632">
        <v>183131</v>
      </c>
      <c r="F632">
        <v>90251</v>
      </c>
      <c r="G632">
        <v>92880</v>
      </c>
    </row>
    <row r="633" spans="1:7" x14ac:dyDescent="0.25">
      <c r="A633">
        <v>7138</v>
      </c>
      <c r="B633" t="s">
        <v>162</v>
      </c>
      <c r="C633" s="1">
        <v>44827</v>
      </c>
      <c r="D633" s="1">
        <v>117974</v>
      </c>
      <c r="E633">
        <v>184390</v>
      </c>
      <c r="F633">
        <v>90902</v>
      </c>
      <c r="G633">
        <v>93488</v>
      </c>
    </row>
    <row r="634" spans="1:7" x14ac:dyDescent="0.25">
      <c r="A634">
        <v>7140</v>
      </c>
      <c r="B634" t="s">
        <v>163</v>
      </c>
      <c r="C634" s="1">
        <v>43831</v>
      </c>
      <c r="D634" s="1">
        <v>44111</v>
      </c>
      <c r="E634">
        <v>102937</v>
      </c>
    </row>
    <row r="635" spans="1:7" x14ac:dyDescent="0.25">
      <c r="A635">
        <v>7140</v>
      </c>
      <c r="B635" t="s">
        <v>163</v>
      </c>
      <c r="C635" s="1">
        <v>44112</v>
      </c>
      <c r="D635" s="1">
        <v>44433</v>
      </c>
      <c r="E635">
        <v>103163</v>
      </c>
    </row>
    <row r="636" spans="1:7" x14ac:dyDescent="0.25">
      <c r="A636">
        <v>7140</v>
      </c>
      <c r="B636" t="s">
        <v>163</v>
      </c>
      <c r="C636" s="1">
        <v>44434</v>
      </c>
      <c r="D636" s="1">
        <v>44826</v>
      </c>
      <c r="E636">
        <v>103401</v>
      </c>
      <c r="F636">
        <v>51432</v>
      </c>
      <c r="G636">
        <v>51969</v>
      </c>
    </row>
    <row r="637" spans="1:7" x14ac:dyDescent="0.25">
      <c r="A637">
        <v>7140</v>
      </c>
      <c r="B637" t="s">
        <v>163</v>
      </c>
      <c r="C637" s="1">
        <v>44827</v>
      </c>
      <c r="D637" s="1">
        <v>117974</v>
      </c>
      <c r="E637">
        <v>103767</v>
      </c>
      <c r="F637">
        <v>51609</v>
      </c>
      <c r="G637">
        <v>52158</v>
      </c>
    </row>
    <row r="638" spans="1:7" x14ac:dyDescent="0.25">
      <c r="A638">
        <v>7141</v>
      </c>
      <c r="B638" t="s">
        <v>164</v>
      </c>
      <c r="C638" s="1">
        <v>43831</v>
      </c>
      <c r="D638" s="1">
        <v>44111</v>
      </c>
      <c r="E638">
        <v>122308</v>
      </c>
    </row>
    <row r="639" spans="1:7" x14ac:dyDescent="0.25">
      <c r="A639">
        <v>7141</v>
      </c>
      <c r="B639" t="s">
        <v>164</v>
      </c>
      <c r="C639" s="1">
        <v>44112</v>
      </c>
      <c r="D639" s="1">
        <v>44433</v>
      </c>
      <c r="E639">
        <v>122297</v>
      </c>
    </row>
    <row r="640" spans="1:7" x14ac:dyDescent="0.25">
      <c r="A640">
        <v>7141</v>
      </c>
      <c r="B640" t="s">
        <v>164</v>
      </c>
      <c r="C640" s="1">
        <v>44434</v>
      </c>
      <c r="D640" s="1">
        <v>44826</v>
      </c>
      <c r="E640">
        <v>122574</v>
      </c>
      <c r="F640">
        <v>60684</v>
      </c>
      <c r="G640">
        <v>61890</v>
      </c>
    </row>
    <row r="641" spans="1:7" x14ac:dyDescent="0.25">
      <c r="A641">
        <v>7141</v>
      </c>
      <c r="B641" t="s">
        <v>164</v>
      </c>
      <c r="C641" s="1">
        <v>44827</v>
      </c>
      <c r="D641" s="1">
        <v>117974</v>
      </c>
      <c r="E641">
        <v>122724</v>
      </c>
      <c r="F641">
        <v>60745</v>
      </c>
      <c r="G641">
        <v>61979</v>
      </c>
    </row>
    <row r="642" spans="1:7" x14ac:dyDescent="0.25">
      <c r="A642">
        <v>7143</v>
      </c>
      <c r="B642" t="s">
        <v>165</v>
      </c>
      <c r="C642" s="1">
        <v>43831</v>
      </c>
      <c r="D642" s="1">
        <v>44111</v>
      </c>
      <c r="E642">
        <v>201597</v>
      </c>
    </row>
    <row r="643" spans="1:7" x14ac:dyDescent="0.25">
      <c r="A643">
        <v>7143</v>
      </c>
      <c r="B643" t="s">
        <v>165</v>
      </c>
      <c r="C643" s="1">
        <v>44112</v>
      </c>
      <c r="D643" s="1">
        <v>44433</v>
      </c>
      <c r="E643">
        <v>201904</v>
      </c>
    </row>
    <row r="644" spans="1:7" x14ac:dyDescent="0.25">
      <c r="A644">
        <v>7143</v>
      </c>
      <c r="B644" t="s">
        <v>165</v>
      </c>
      <c r="C644" s="1">
        <v>44434</v>
      </c>
      <c r="D644" s="1">
        <v>44826</v>
      </c>
      <c r="E644">
        <v>202830</v>
      </c>
      <c r="F644">
        <v>100629</v>
      </c>
      <c r="G644">
        <v>102201</v>
      </c>
    </row>
    <row r="645" spans="1:7" x14ac:dyDescent="0.25">
      <c r="A645">
        <v>7143</v>
      </c>
      <c r="B645" t="s">
        <v>165</v>
      </c>
      <c r="C645" s="1">
        <v>44827</v>
      </c>
      <c r="D645" s="1">
        <v>117974</v>
      </c>
      <c r="E645">
        <v>203831</v>
      </c>
      <c r="F645">
        <v>101116</v>
      </c>
      <c r="G645">
        <v>102715</v>
      </c>
    </row>
    <row r="646" spans="1:7" x14ac:dyDescent="0.25">
      <c r="A646">
        <v>7211</v>
      </c>
      <c r="B646" t="s">
        <v>166</v>
      </c>
      <c r="C646" s="1">
        <v>43831</v>
      </c>
      <c r="D646" s="1">
        <v>44111</v>
      </c>
      <c r="E646">
        <v>110636</v>
      </c>
    </row>
    <row r="647" spans="1:7" x14ac:dyDescent="0.25">
      <c r="A647">
        <v>7211</v>
      </c>
      <c r="B647" t="s">
        <v>166</v>
      </c>
      <c r="C647" s="1">
        <v>44112</v>
      </c>
      <c r="D647" s="1">
        <v>44433</v>
      </c>
      <c r="E647">
        <v>111528</v>
      </c>
    </row>
    <row r="648" spans="1:7" x14ac:dyDescent="0.25">
      <c r="A648">
        <v>7211</v>
      </c>
      <c r="B648" t="s">
        <v>166</v>
      </c>
      <c r="C648" s="1">
        <v>44434</v>
      </c>
      <c r="D648" s="1">
        <v>44826</v>
      </c>
      <c r="E648">
        <v>110674</v>
      </c>
      <c r="F648">
        <v>54665</v>
      </c>
      <c r="G648">
        <v>56009</v>
      </c>
    </row>
    <row r="649" spans="1:7" x14ac:dyDescent="0.25">
      <c r="A649">
        <v>7211</v>
      </c>
      <c r="B649" t="s">
        <v>166</v>
      </c>
      <c r="C649" s="1">
        <v>44827</v>
      </c>
      <c r="D649" s="1">
        <v>117974</v>
      </c>
      <c r="E649">
        <v>110570</v>
      </c>
      <c r="F649">
        <v>54662</v>
      </c>
      <c r="G649">
        <v>55908</v>
      </c>
    </row>
    <row r="650" spans="1:7" x14ac:dyDescent="0.25">
      <c r="A650">
        <v>7231</v>
      </c>
      <c r="B650" t="s">
        <v>167</v>
      </c>
      <c r="C650" s="1">
        <v>43831</v>
      </c>
      <c r="D650" s="1">
        <v>44111</v>
      </c>
      <c r="E650">
        <v>112262</v>
      </c>
    </row>
    <row r="651" spans="1:7" x14ac:dyDescent="0.25">
      <c r="A651">
        <v>7231</v>
      </c>
      <c r="B651" t="s">
        <v>167</v>
      </c>
      <c r="C651" s="1">
        <v>44112</v>
      </c>
      <c r="D651" s="1">
        <v>44433</v>
      </c>
      <c r="E651">
        <v>112483</v>
      </c>
    </row>
    <row r="652" spans="1:7" x14ac:dyDescent="0.25">
      <c r="A652">
        <v>7231</v>
      </c>
      <c r="B652" t="s">
        <v>167</v>
      </c>
      <c r="C652" s="1">
        <v>44434</v>
      </c>
      <c r="D652" s="1">
        <v>44826</v>
      </c>
      <c r="E652">
        <v>112685</v>
      </c>
      <c r="F652">
        <v>56422</v>
      </c>
      <c r="G652">
        <v>56263</v>
      </c>
    </row>
    <row r="653" spans="1:7" x14ac:dyDescent="0.25">
      <c r="A653">
        <v>7231</v>
      </c>
      <c r="B653" t="s">
        <v>167</v>
      </c>
      <c r="C653" s="1">
        <v>44827</v>
      </c>
      <c r="D653" s="1">
        <v>117974</v>
      </c>
      <c r="E653">
        <v>113194</v>
      </c>
      <c r="F653">
        <v>56675</v>
      </c>
      <c r="G653">
        <v>56519</v>
      </c>
    </row>
    <row r="654" spans="1:7" x14ac:dyDescent="0.25">
      <c r="A654">
        <v>7232</v>
      </c>
      <c r="B654" t="s">
        <v>168</v>
      </c>
      <c r="C654" s="1">
        <v>43831</v>
      </c>
      <c r="D654" s="1">
        <v>44111</v>
      </c>
      <c r="E654">
        <v>98561</v>
      </c>
    </row>
    <row r="655" spans="1:7" x14ac:dyDescent="0.25">
      <c r="A655">
        <v>7232</v>
      </c>
      <c r="B655" t="s">
        <v>168</v>
      </c>
      <c r="C655" s="1">
        <v>44112</v>
      </c>
      <c r="D655" s="1">
        <v>44433</v>
      </c>
      <c r="E655">
        <v>99058</v>
      </c>
    </row>
    <row r="656" spans="1:7" x14ac:dyDescent="0.25">
      <c r="A656">
        <v>7232</v>
      </c>
      <c r="B656" t="s">
        <v>168</v>
      </c>
      <c r="C656" s="1">
        <v>44434</v>
      </c>
      <c r="D656" s="1">
        <v>44826</v>
      </c>
      <c r="E656">
        <v>100055</v>
      </c>
      <c r="F656">
        <v>50484</v>
      </c>
      <c r="G656">
        <v>49571</v>
      </c>
    </row>
    <row r="657" spans="1:7" x14ac:dyDescent="0.25">
      <c r="A657">
        <v>7232</v>
      </c>
      <c r="B657" t="s">
        <v>168</v>
      </c>
      <c r="C657" s="1">
        <v>44827</v>
      </c>
      <c r="D657" s="1">
        <v>117974</v>
      </c>
      <c r="E657">
        <v>100959</v>
      </c>
      <c r="F657">
        <v>50949</v>
      </c>
      <c r="G657">
        <v>50010</v>
      </c>
    </row>
    <row r="658" spans="1:7" x14ac:dyDescent="0.25">
      <c r="A658">
        <v>7233</v>
      </c>
      <c r="B658" t="s">
        <v>169</v>
      </c>
      <c r="C658" s="1">
        <v>43831</v>
      </c>
      <c r="D658" s="1">
        <v>44111</v>
      </c>
      <c r="E658">
        <v>60603</v>
      </c>
    </row>
    <row r="659" spans="1:7" x14ac:dyDescent="0.25">
      <c r="A659">
        <v>7233</v>
      </c>
      <c r="B659" t="s">
        <v>169</v>
      </c>
      <c r="C659" s="1">
        <v>44112</v>
      </c>
      <c r="D659" s="1">
        <v>44433</v>
      </c>
      <c r="E659">
        <v>60646</v>
      </c>
    </row>
    <row r="660" spans="1:7" x14ac:dyDescent="0.25">
      <c r="A660">
        <v>7233</v>
      </c>
      <c r="B660" t="s">
        <v>169</v>
      </c>
      <c r="C660" s="1">
        <v>44434</v>
      </c>
      <c r="D660" s="1">
        <v>44826</v>
      </c>
      <c r="E660">
        <v>60491</v>
      </c>
      <c r="F660">
        <v>30283</v>
      </c>
      <c r="G660">
        <v>30208</v>
      </c>
    </row>
    <row r="661" spans="1:7" x14ac:dyDescent="0.25">
      <c r="A661">
        <v>7233</v>
      </c>
      <c r="B661" t="s">
        <v>169</v>
      </c>
      <c r="C661" s="1">
        <v>44827</v>
      </c>
      <c r="D661" s="1">
        <v>117974</v>
      </c>
      <c r="E661">
        <v>60882</v>
      </c>
      <c r="F661">
        <v>30495</v>
      </c>
      <c r="G661">
        <v>30387</v>
      </c>
    </row>
    <row r="662" spans="1:7" x14ac:dyDescent="0.25">
      <c r="A662">
        <v>7235</v>
      </c>
      <c r="B662" t="s">
        <v>170</v>
      </c>
      <c r="C662" s="1">
        <v>43831</v>
      </c>
      <c r="D662" s="1">
        <v>44111</v>
      </c>
      <c r="E662">
        <v>148945</v>
      </c>
    </row>
    <row r="663" spans="1:7" x14ac:dyDescent="0.25">
      <c r="A663">
        <v>7235</v>
      </c>
      <c r="B663" t="s">
        <v>170</v>
      </c>
      <c r="C663" s="1">
        <v>44112</v>
      </c>
      <c r="D663" s="1">
        <v>44433</v>
      </c>
      <c r="E663">
        <v>149398</v>
      </c>
    </row>
    <row r="664" spans="1:7" x14ac:dyDescent="0.25">
      <c r="A664">
        <v>7235</v>
      </c>
      <c r="B664" t="s">
        <v>170</v>
      </c>
      <c r="C664" s="1">
        <v>44434</v>
      </c>
      <c r="D664" s="1">
        <v>44826</v>
      </c>
      <c r="E664">
        <v>150533</v>
      </c>
      <c r="F664">
        <v>74581</v>
      </c>
      <c r="G664">
        <v>75952</v>
      </c>
    </row>
    <row r="665" spans="1:7" x14ac:dyDescent="0.25">
      <c r="A665">
        <v>7235</v>
      </c>
      <c r="B665" t="s">
        <v>170</v>
      </c>
      <c r="C665" s="1">
        <v>44827</v>
      </c>
      <c r="D665" s="1">
        <v>117974</v>
      </c>
      <c r="E665">
        <v>151167</v>
      </c>
      <c r="F665">
        <v>74938</v>
      </c>
      <c r="G665">
        <v>76229</v>
      </c>
    </row>
    <row r="666" spans="1:7" x14ac:dyDescent="0.25">
      <c r="A666">
        <v>7311</v>
      </c>
      <c r="B666" t="s">
        <v>171</v>
      </c>
      <c r="C666" s="1">
        <v>43831</v>
      </c>
      <c r="D666" s="1">
        <v>44111</v>
      </c>
      <c r="E666">
        <v>48561</v>
      </c>
    </row>
    <row r="667" spans="1:7" x14ac:dyDescent="0.25">
      <c r="A667">
        <v>7311</v>
      </c>
      <c r="B667" t="s">
        <v>171</v>
      </c>
      <c r="C667" s="1">
        <v>44112</v>
      </c>
      <c r="D667" s="1">
        <v>44433</v>
      </c>
      <c r="E667">
        <v>48762</v>
      </c>
    </row>
    <row r="668" spans="1:7" x14ac:dyDescent="0.25">
      <c r="A668">
        <v>7311</v>
      </c>
      <c r="B668" t="s">
        <v>171</v>
      </c>
      <c r="C668" s="1">
        <v>44434</v>
      </c>
      <c r="D668" s="1">
        <v>44826</v>
      </c>
      <c r="E668">
        <v>48750</v>
      </c>
      <c r="F668">
        <v>23745</v>
      </c>
      <c r="G668">
        <v>25005</v>
      </c>
    </row>
    <row r="669" spans="1:7" x14ac:dyDescent="0.25">
      <c r="A669">
        <v>7311</v>
      </c>
      <c r="B669" t="s">
        <v>171</v>
      </c>
      <c r="C669" s="1">
        <v>44827</v>
      </c>
      <c r="D669" s="1">
        <v>117974</v>
      </c>
      <c r="E669">
        <v>48773</v>
      </c>
      <c r="F669">
        <v>23878</v>
      </c>
      <c r="G669">
        <v>24895</v>
      </c>
    </row>
    <row r="670" spans="1:7" x14ac:dyDescent="0.25">
      <c r="A670">
        <v>7312</v>
      </c>
      <c r="B670" t="s">
        <v>172</v>
      </c>
      <c r="C670" s="1">
        <v>43831</v>
      </c>
      <c r="D670" s="1">
        <v>44111</v>
      </c>
      <c r="E670">
        <v>99845</v>
      </c>
    </row>
    <row r="671" spans="1:7" x14ac:dyDescent="0.25">
      <c r="A671">
        <v>7312</v>
      </c>
      <c r="B671" t="s">
        <v>172</v>
      </c>
      <c r="C671" s="1">
        <v>44112</v>
      </c>
      <c r="D671" s="1">
        <v>44433</v>
      </c>
      <c r="E671">
        <v>100030</v>
      </c>
    </row>
    <row r="672" spans="1:7" x14ac:dyDescent="0.25">
      <c r="A672">
        <v>7312</v>
      </c>
      <c r="B672" t="s">
        <v>172</v>
      </c>
      <c r="C672" s="1">
        <v>44434</v>
      </c>
      <c r="D672" s="1">
        <v>44826</v>
      </c>
      <c r="E672">
        <v>99662</v>
      </c>
      <c r="F672">
        <v>50286</v>
      </c>
      <c r="G672">
        <v>49376</v>
      </c>
    </row>
    <row r="673" spans="1:7" x14ac:dyDescent="0.25">
      <c r="A673">
        <v>7312</v>
      </c>
      <c r="B673" t="s">
        <v>172</v>
      </c>
      <c r="C673" s="1">
        <v>44827</v>
      </c>
      <c r="D673" s="1">
        <v>117974</v>
      </c>
      <c r="E673">
        <v>99292</v>
      </c>
      <c r="F673">
        <v>50082</v>
      </c>
      <c r="G673">
        <v>49210</v>
      </c>
    </row>
    <row r="674" spans="1:7" x14ac:dyDescent="0.25">
      <c r="A674">
        <v>7313</v>
      </c>
      <c r="B674" t="s">
        <v>173</v>
      </c>
      <c r="C674" s="1">
        <v>43831</v>
      </c>
      <c r="D674" s="1">
        <v>44111</v>
      </c>
      <c r="E674">
        <v>46677</v>
      </c>
    </row>
    <row r="675" spans="1:7" x14ac:dyDescent="0.25">
      <c r="A675">
        <v>7313</v>
      </c>
      <c r="B675" t="s">
        <v>173</v>
      </c>
      <c r="C675" s="1">
        <v>44112</v>
      </c>
      <c r="D675" s="1">
        <v>44433</v>
      </c>
      <c r="E675">
        <v>46881</v>
      </c>
    </row>
    <row r="676" spans="1:7" x14ac:dyDescent="0.25">
      <c r="A676">
        <v>7313</v>
      </c>
      <c r="B676" t="s">
        <v>173</v>
      </c>
      <c r="C676" s="1">
        <v>44434</v>
      </c>
      <c r="D676" s="1">
        <v>44826</v>
      </c>
      <c r="E676">
        <v>46685</v>
      </c>
      <c r="F676">
        <v>22225</v>
      </c>
      <c r="G676">
        <v>24460</v>
      </c>
    </row>
    <row r="677" spans="1:7" x14ac:dyDescent="0.25">
      <c r="A677">
        <v>7313</v>
      </c>
      <c r="B677" t="s">
        <v>173</v>
      </c>
      <c r="C677" s="1">
        <v>44827</v>
      </c>
      <c r="D677" s="1">
        <v>117974</v>
      </c>
      <c r="E677">
        <v>46919</v>
      </c>
      <c r="F677">
        <v>22379</v>
      </c>
      <c r="G677">
        <v>24540</v>
      </c>
    </row>
    <row r="678" spans="1:7" x14ac:dyDescent="0.25">
      <c r="A678">
        <v>7314</v>
      </c>
      <c r="B678" t="s">
        <v>174</v>
      </c>
      <c r="C678" s="1">
        <v>43831</v>
      </c>
      <c r="D678" s="1">
        <v>44111</v>
      </c>
      <c r="E678">
        <v>171061</v>
      </c>
    </row>
    <row r="679" spans="1:7" x14ac:dyDescent="0.25">
      <c r="A679">
        <v>7314</v>
      </c>
      <c r="B679" t="s">
        <v>174</v>
      </c>
      <c r="C679" s="1">
        <v>44112</v>
      </c>
      <c r="D679" s="1">
        <v>44433</v>
      </c>
      <c r="E679">
        <v>172253</v>
      </c>
    </row>
    <row r="680" spans="1:7" x14ac:dyDescent="0.25">
      <c r="A680">
        <v>7314</v>
      </c>
      <c r="B680" t="s">
        <v>174</v>
      </c>
      <c r="C680" s="1">
        <v>44434</v>
      </c>
      <c r="D680" s="1">
        <v>44826</v>
      </c>
      <c r="E680">
        <v>172557</v>
      </c>
      <c r="F680">
        <v>86670</v>
      </c>
      <c r="G680">
        <v>85887</v>
      </c>
    </row>
    <row r="681" spans="1:7" x14ac:dyDescent="0.25">
      <c r="A681">
        <v>7314</v>
      </c>
      <c r="B681" t="s">
        <v>174</v>
      </c>
      <c r="C681" s="1">
        <v>44827</v>
      </c>
      <c r="D681" s="1">
        <v>117974</v>
      </c>
      <c r="E681">
        <v>172145</v>
      </c>
      <c r="F681">
        <v>86378</v>
      </c>
      <c r="G681">
        <v>85767</v>
      </c>
    </row>
    <row r="682" spans="1:7" x14ac:dyDescent="0.25">
      <c r="A682">
        <v>7315</v>
      </c>
      <c r="B682" t="s">
        <v>175</v>
      </c>
      <c r="C682" s="1">
        <v>43831</v>
      </c>
      <c r="D682" s="1">
        <v>44111</v>
      </c>
      <c r="E682">
        <v>217118</v>
      </c>
    </row>
    <row r="683" spans="1:7" x14ac:dyDescent="0.25">
      <c r="A683">
        <v>7315</v>
      </c>
      <c r="B683" t="s">
        <v>175</v>
      </c>
      <c r="C683" s="1">
        <v>44112</v>
      </c>
      <c r="D683" s="1">
        <v>44433</v>
      </c>
      <c r="E683">
        <v>218578</v>
      </c>
    </row>
    <row r="684" spans="1:7" x14ac:dyDescent="0.25">
      <c r="A684">
        <v>7315</v>
      </c>
      <c r="B684" t="s">
        <v>175</v>
      </c>
      <c r="C684" s="1">
        <v>44434</v>
      </c>
      <c r="D684" s="1">
        <v>44826</v>
      </c>
      <c r="E684">
        <v>217123</v>
      </c>
      <c r="F684">
        <v>105835</v>
      </c>
      <c r="G684">
        <v>111288</v>
      </c>
    </row>
    <row r="685" spans="1:7" x14ac:dyDescent="0.25">
      <c r="A685">
        <v>7315</v>
      </c>
      <c r="B685" t="s">
        <v>175</v>
      </c>
      <c r="C685" s="1">
        <v>44827</v>
      </c>
      <c r="D685" s="1">
        <v>117974</v>
      </c>
      <c r="E685">
        <v>217556</v>
      </c>
      <c r="F685">
        <v>106014</v>
      </c>
      <c r="G685">
        <v>111542</v>
      </c>
    </row>
    <row r="686" spans="1:7" x14ac:dyDescent="0.25">
      <c r="A686">
        <v>7316</v>
      </c>
      <c r="B686" t="s">
        <v>176</v>
      </c>
      <c r="C686" s="1">
        <v>43831</v>
      </c>
      <c r="D686" s="1">
        <v>44111</v>
      </c>
      <c r="E686">
        <v>53148</v>
      </c>
    </row>
    <row r="687" spans="1:7" x14ac:dyDescent="0.25">
      <c r="A687">
        <v>7316</v>
      </c>
      <c r="B687" t="s">
        <v>176</v>
      </c>
      <c r="C687" s="1">
        <v>44112</v>
      </c>
      <c r="D687" s="1">
        <v>44433</v>
      </c>
      <c r="E687">
        <v>53264</v>
      </c>
    </row>
    <row r="688" spans="1:7" x14ac:dyDescent="0.25">
      <c r="A688">
        <v>7316</v>
      </c>
      <c r="B688" t="s">
        <v>176</v>
      </c>
      <c r="C688" s="1">
        <v>44434</v>
      </c>
      <c r="D688" s="1">
        <v>44826</v>
      </c>
      <c r="E688">
        <v>53306</v>
      </c>
      <c r="F688">
        <v>25994</v>
      </c>
      <c r="G688">
        <v>27312</v>
      </c>
    </row>
    <row r="689" spans="1:7" x14ac:dyDescent="0.25">
      <c r="A689">
        <v>7316</v>
      </c>
      <c r="B689" t="s">
        <v>176</v>
      </c>
      <c r="C689" s="1">
        <v>44827</v>
      </c>
      <c r="D689" s="1">
        <v>117974</v>
      </c>
      <c r="E689">
        <v>53491</v>
      </c>
      <c r="F689">
        <v>26135</v>
      </c>
      <c r="G689">
        <v>27356</v>
      </c>
    </row>
    <row r="690" spans="1:7" x14ac:dyDescent="0.25">
      <c r="A690">
        <v>7317</v>
      </c>
      <c r="B690" t="s">
        <v>177</v>
      </c>
      <c r="C690" s="1">
        <v>43831</v>
      </c>
      <c r="D690" s="1">
        <v>44111</v>
      </c>
      <c r="E690">
        <v>40403</v>
      </c>
    </row>
    <row r="691" spans="1:7" x14ac:dyDescent="0.25">
      <c r="A691">
        <v>7317</v>
      </c>
      <c r="B691" t="s">
        <v>177</v>
      </c>
      <c r="C691" s="1">
        <v>44112</v>
      </c>
      <c r="D691" s="1">
        <v>44433</v>
      </c>
      <c r="E691">
        <v>40231</v>
      </c>
    </row>
    <row r="692" spans="1:7" x14ac:dyDescent="0.25">
      <c r="A692">
        <v>7317</v>
      </c>
      <c r="B692" t="s">
        <v>177</v>
      </c>
      <c r="C692" s="1">
        <v>44434</v>
      </c>
      <c r="D692" s="1">
        <v>44826</v>
      </c>
      <c r="E692">
        <v>40176</v>
      </c>
      <c r="F692">
        <v>19694</v>
      </c>
      <c r="G692">
        <v>20482</v>
      </c>
    </row>
    <row r="693" spans="1:7" x14ac:dyDescent="0.25">
      <c r="A693">
        <v>7317</v>
      </c>
      <c r="B693" t="s">
        <v>177</v>
      </c>
      <c r="C693" s="1">
        <v>44827</v>
      </c>
      <c r="D693" s="1">
        <v>117974</v>
      </c>
      <c r="E693">
        <v>40054</v>
      </c>
      <c r="F693">
        <v>19628</v>
      </c>
      <c r="G693">
        <v>20426</v>
      </c>
    </row>
    <row r="694" spans="1:7" x14ac:dyDescent="0.25">
      <c r="A694">
        <v>7318</v>
      </c>
      <c r="B694" t="s">
        <v>178</v>
      </c>
      <c r="C694" s="1">
        <v>43831</v>
      </c>
      <c r="D694" s="1">
        <v>44111</v>
      </c>
      <c r="E694">
        <v>50378</v>
      </c>
    </row>
    <row r="695" spans="1:7" x14ac:dyDescent="0.25">
      <c r="A695">
        <v>7318</v>
      </c>
      <c r="B695" t="s">
        <v>178</v>
      </c>
      <c r="C695" s="1">
        <v>44112</v>
      </c>
      <c r="D695" s="1">
        <v>44433</v>
      </c>
      <c r="E695">
        <v>50561</v>
      </c>
    </row>
    <row r="696" spans="1:7" x14ac:dyDescent="0.25">
      <c r="A696">
        <v>7318</v>
      </c>
      <c r="B696" t="s">
        <v>178</v>
      </c>
      <c r="C696" s="1">
        <v>44434</v>
      </c>
      <c r="D696" s="1">
        <v>44826</v>
      </c>
      <c r="E696">
        <v>50741</v>
      </c>
      <c r="F696">
        <v>24685</v>
      </c>
      <c r="G696">
        <v>26056</v>
      </c>
    </row>
    <row r="697" spans="1:7" x14ac:dyDescent="0.25">
      <c r="A697">
        <v>7318</v>
      </c>
      <c r="B697" t="s">
        <v>178</v>
      </c>
      <c r="C697" s="1">
        <v>44827</v>
      </c>
      <c r="D697" s="1">
        <v>117974</v>
      </c>
      <c r="E697">
        <v>50565</v>
      </c>
      <c r="F697">
        <v>24519</v>
      </c>
      <c r="G697">
        <v>26046</v>
      </c>
    </row>
    <row r="698" spans="1:7" x14ac:dyDescent="0.25">
      <c r="A698">
        <v>7319</v>
      </c>
      <c r="B698" t="s">
        <v>179</v>
      </c>
      <c r="C698" s="1">
        <v>43831</v>
      </c>
      <c r="D698" s="1">
        <v>44111</v>
      </c>
      <c r="E698">
        <v>83330</v>
      </c>
    </row>
    <row r="699" spans="1:7" x14ac:dyDescent="0.25">
      <c r="A699">
        <v>7319</v>
      </c>
      <c r="B699" t="s">
        <v>179</v>
      </c>
      <c r="C699" s="1">
        <v>44112</v>
      </c>
      <c r="D699" s="1">
        <v>44433</v>
      </c>
      <c r="E699">
        <v>83542</v>
      </c>
    </row>
    <row r="700" spans="1:7" x14ac:dyDescent="0.25">
      <c r="A700">
        <v>7319</v>
      </c>
      <c r="B700" t="s">
        <v>179</v>
      </c>
      <c r="C700" s="1">
        <v>44434</v>
      </c>
      <c r="D700" s="1">
        <v>44826</v>
      </c>
      <c r="E700">
        <v>83459</v>
      </c>
      <c r="F700">
        <v>41298</v>
      </c>
      <c r="G700">
        <v>42161</v>
      </c>
    </row>
    <row r="701" spans="1:7" x14ac:dyDescent="0.25">
      <c r="A701">
        <v>7319</v>
      </c>
      <c r="B701" t="s">
        <v>179</v>
      </c>
      <c r="C701" s="1">
        <v>44827</v>
      </c>
      <c r="D701" s="1">
        <v>117974</v>
      </c>
      <c r="E701">
        <v>83850</v>
      </c>
      <c r="F701">
        <v>41594</v>
      </c>
      <c r="G701">
        <v>42256</v>
      </c>
    </row>
    <row r="702" spans="1:7" x14ac:dyDescent="0.25">
      <c r="A702">
        <v>7320</v>
      </c>
      <c r="B702" t="s">
        <v>180</v>
      </c>
      <c r="C702" s="1">
        <v>43831</v>
      </c>
      <c r="D702" s="1">
        <v>44111</v>
      </c>
      <c r="E702">
        <v>34209</v>
      </c>
    </row>
    <row r="703" spans="1:7" x14ac:dyDescent="0.25">
      <c r="A703">
        <v>7320</v>
      </c>
      <c r="B703" t="s">
        <v>180</v>
      </c>
      <c r="C703" s="1">
        <v>44112</v>
      </c>
      <c r="D703" s="1">
        <v>44433</v>
      </c>
      <c r="E703">
        <v>34193</v>
      </c>
    </row>
    <row r="704" spans="1:7" x14ac:dyDescent="0.25">
      <c r="A704">
        <v>7320</v>
      </c>
      <c r="B704" t="s">
        <v>180</v>
      </c>
      <c r="C704" s="1">
        <v>44434</v>
      </c>
      <c r="D704" s="1">
        <v>44826</v>
      </c>
      <c r="E704">
        <v>34001</v>
      </c>
      <c r="F704">
        <v>16840</v>
      </c>
      <c r="G704">
        <v>17161</v>
      </c>
    </row>
    <row r="705" spans="1:7" x14ac:dyDescent="0.25">
      <c r="A705">
        <v>7320</v>
      </c>
      <c r="B705" t="s">
        <v>180</v>
      </c>
      <c r="C705" s="1">
        <v>44827</v>
      </c>
      <c r="D705" s="1">
        <v>117974</v>
      </c>
      <c r="E705">
        <v>34091</v>
      </c>
      <c r="F705">
        <v>16888</v>
      </c>
      <c r="G705">
        <v>17203</v>
      </c>
    </row>
    <row r="706" spans="1:7" x14ac:dyDescent="0.25">
      <c r="A706">
        <v>7331</v>
      </c>
      <c r="B706" t="s">
        <v>181</v>
      </c>
      <c r="C706" s="1">
        <v>43831</v>
      </c>
      <c r="D706" s="1">
        <v>44111</v>
      </c>
      <c r="E706">
        <v>129244</v>
      </c>
    </row>
    <row r="707" spans="1:7" x14ac:dyDescent="0.25">
      <c r="A707">
        <v>7331</v>
      </c>
      <c r="B707" t="s">
        <v>181</v>
      </c>
      <c r="C707" s="1">
        <v>44112</v>
      </c>
      <c r="D707" s="1">
        <v>44433</v>
      </c>
      <c r="E707">
        <v>129687</v>
      </c>
    </row>
    <row r="708" spans="1:7" x14ac:dyDescent="0.25">
      <c r="A708">
        <v>7331</v>
      </c>
      <c r="B708" t="s">
        <v>181</v>
      </c>
      <c r="C708" s="1">
        <v>44434</v>
      </c>
      <c r="D708" s="1">
        <v>44826</v>
      </c>
      <c r="E708">
        <v>130715</v>
      </c>
      <c r="F708">
        <v>64964</v>
      </c>
      <c r="G708">
        <v>65751</v>
      </c>
    </row>
    <row r="709" spans="1:7" x14ac:dyDescent="0.25">
      <c r="A709">
        <v>7331</v>
      </c>
      <c r="B709" t="s">
        <v>181</v>
      </c>
      <c r="C709" s="1">
        <v>44827</v>
      </c>
      <c r="D709" s="1">
        <v>117974</v>
      </c>
      <c r="E709">
        <v>131330</v>
      </c>
      <c r="F709">
        <v>65224</v>
      </c>
      <c r="G709">
        <v>66106</v>
      </c>
    </row>
    <row r="710" spans="1:7" x14ac:dyDescent="0.25">
      <c r="A710">
        <v>7332</v>
      </c>
      <c r="B710" t="s">
        <v>182</v>
      </c>
      <c r="C710" s="1">
        <v>43831</v>
      </c>
      <c r="D710" s="1">
        <v>44111</v>
      </c>
      <c r="E710">
        <v>132660</v>
      </c>
    </row>
    <row r="711" spans="1:7" x14ac:dyDescent="0.25">
      <c r="A711">
        <v>7332</v>
      </c>
      <c r="B711" t="s">
        <v>182</v>
      </c>
      <c r="C711" s="1">
        <v>44112</v>
      </c>
      <c r="D711" s="1">
        <v>44433</v>
      </c>
      <c r="E711">
        <v>132671</v>
      </c>
    </row>
    <row r="712" spans="1:7" x14ac:dyDescent="0.25">
      <c r="A712">
        <v>7332</v>
      </c>
      <c r="B712" t="s">
        <v>182</v>
      </c>
      <c r="C712" s="1">
        <v>44434</v>
      </c>
      <c r="D712" s="1">
        <v>44826</v>
      </c>
      <c r="E712">
        <v>133004</v>
      </c>
      <c r="F712">
        <v>65103</v>
      </c>
      <c r="G712">
        <v>67901</v>
      </c>
    </row>
    <row r="713" spans="1:7" x14ac:dyDescent="0.25">
      <c r="A713">
        <v>7332</v>
      </c>
      <c r="B713" t="s">
        <v>182</v>
      </c>
      <c r="C713" s="1">
        <v>44827</v>
      </c>
      <c r="D713" s="1">
        <v>117974</v>
      </c>
      <c r="E713">
        <v>133206</v>
      </c>
      <c r="F713">
        <v>65122</v>
      </c>
      <c r="G713">
        <v>68084</v>
      </c>
    </row>
    <row r="714" spans="1:7" x14ac:dyDescent="0.25">
      <c r="A714">
        <v>7333</v>
      </c>
      <c r="B714" t="s">
        <v>183</v>
      </c>
      <c r="C714" s="1">
        <v>43831</v>
      </c>
      <c r="D714" s="1">
        <v>44111</v>
      </c>
      <c r="E714">
        <v>75101</v>
      </c>
    </row>
    <row r="715" spans="1:7" x14ac:dyDescent="0.25">
      <c r="A715">
        <v>7333</v>
      </c>
      <c r="B715" t="s">
        <v>183</v>
      </c>
      <c r="C715" s="1">
        <v>44112</v>
      </c>
      <c r="D715" s="1">
        <v>44433</v>
      </c>
      <c r="E715">
        <v>75325</v>
      </c>
    </row>
    <row r="716" spans="1:7" x14ac:dyDescent="0.25">
      <c r="A716">
        <v>7333</v>
      </c>
      <c r="B716" t="s">
        <v>183</v>
      </c>
      <c r="C716" s="1">
        <v>44434</v>
      </c>
      <c r="D716" s="1">
        <v>44826</v>
      </c>
      <c r="E716">
        <v>75539</v>
      </c>
      <c r="F716">
        <v>37417</v>
      </c>
      <c r="G716">
        <v>38122</v>
      </c>
    </row>
    <row r="717" spans="1:7" x14ac:dyDescent="0.25">
      <c r="A717">
        <v>7333</v>
      </c>
      <c r="B717" t="s">
        <v>183</v>
      </c>
      <c r="C717" s="1">
        <v>44827</v>
      </c>
      <c r="D717" s="1">
        <v>117974</v>
      </c>
      <c r="E717">
        <v>75569</v>
      </c>
      <c r="F717">
        <v>37418</v>
      </c>
      <c r="G717">
        <v>38151</v>
      </c>
    </row>
    <row r="718" spans="1:7" x14ac:dyDescent="0.25">
      <c r="A718">
        <v>7334</v>
      </c>
      <c r="B718" t="s">
        <v>184</v>
      </c>
      <c r="C718" s="1">
        <v>43831</v>
      </c>
      <c r="D718" s="1">
        <v>44111</v>
      </c>
      <c r="E718">
        <v>129075</v>
      </c>
    </row>
    <row r="719" spans="1:7" x14ac:dyDescent="0.25">
      <c r="A719">
        <v>7334</v>
      </c>
      <c r="B719" t="s">
        <v>184</v>
      </c>
      <c r="C719" s="1">
        <v>44112</v>
      </c>
      <c r="D719" s="1">
        <v>44433</v>
      </c>
      <c r="E719">
        <v>129013</v>
      </c>
    </row>
    <row r="720" spans="1:7" x14ac:dyDescent="0.25">
      <c r="A720">
        <v>7334</v>
      </c>
      <c r="B720" t="s">
        <v>184</v>
      </c>
      <c r="C720" s="1">
        <v>44434</v>
      </c>
      <c r="D720" s="1">
        <v>44826</v>
      </c>
      <c r="E720">
        <v>129006</v>
      </c>
      <c r="F720">
        <v>64237</v>
      </c>
      <c r="G720">
        <v>64769</v>
      </c>
    </row>
    <row r="721" spans="1:7" x14ac:dyDescent="0.25">
      <c r="A721">
        <v>7334</v>
      </c>
      <c r="B721" t="s">
        <v>184</v>
      </c>
      <c r="C721" s="1">
        <v>44827</v>
      </c>
      <c r="D721" s="1">
        <v>117974</v>
      </c>
      <c r="E721">
        <v>129313</v>
      </c>
      <c r="F721">
        <v>64327</v>
      </c>
      <c r="G721">
        <v>64986</v>
      </c>
    </row>
    <row r="722" spans="1:7" x14ac:dyDescent="0.25">
      <c r="A722">
        <v>7335</v>
      </c>
      <c r="B722" t="s">
        <v>185</v>
      </c>
      <c r="C722" s="1">
        <v>43831</v>
      </c>
      <c r="D722" s="1">
        <v>44111</v>
      </c>
      <c r="E722">
        <v>106057</v>
      </c>
    </row>
    <row r="723" spans="1:7" x14ac:dyDescent="0.25">
      <c r="A723">
        <v>7335</v>
      </c>
      <c r="B723" t="s">
        <v>185</v>
      </c>
      <c r="C723" s="1">
        <v>44112</v>
      </c>
      <c r="D723" s="1">
        <v>44433</v>
      </c>
      <c r="E723">
        <v>105979</v>
      </c>
    </row>
    <row r="724" spans="1:7" x14ac:dyDescent="0.25">
      <c r="A724">
        <v>7335</v>
      </c>
      <c r="B724" t="s">
        <v>185</v>
      </c>
      <c r="C724" s="1">
        <v>44434</v>
      </c>
      <c r="D724" s="1">
        <v>44826</v>
      </c>
      <c r="E724">
        <v>106320</v>
      </c>
      <c r="F724">
        <v>52252</v>
      </c>
      <c r="G724">
        <v>54068</v>
      </c>
    </row>
    <row r="725" spans="1:7" x14ac:dyDescent="0.25">
      <c r="A725">
        <v>7335</v>
      </c>
      <c r="B725" t="s">
        <v>185</v>
      </c>
      <c r="C725" s="1">
        <v>44827</v>
      </c>
      <c r="D725" s="1">
        <v>117974</v>
      </c>
      <c r="E725">
        <v>106853</v>
      </c>
      <c r="F725">
        <v>52537</v>
      </c>
      <c r="G725">
        <v>54316</v>
      </c>
    </row>
    <row r="726" spans="1:7" x14ac:dyDescent="0.25">
      <c r="A726">
        <v>7336</v>
      </c>
      <c r="B726" t="s">
        <v>186</v>
      </c>
      <c r="C726" s="1">
        <v>43831</v>
      </c>
      <c r="D726" s="1">
        <v>44111</v>
      </c>
      <c r="E726">
        <v>70526</v>
      </c>
    </row>
    <row r="727" spans="1:7" x14ac:dyDescent="0.25">
      <c r="A727">
        <v>7336</v>
      </c>
      <c r="B727" t="s">
        <v>186</v>
      </c>
      <c r="C727" s="1">
        <v>44112</v>
      </c>
      <c r="D727" s="1">
        <v>44433</v>
      </c>
      <c r="E727">
        <v>70219</v>
      </c>
    </row>
    <row r="728" spans="1:7" x14ac:dyDescent="0.25">
      <c r="A728">
        <v>7336</v>
      </c>
      <c r="B728" t="s">
        <v>186</v>
      </c>
      <c r="C728" s="1">
        <v>44434</v>
      </c>
      <c r="D728" s="1">
        <v>44826</v>
      </c>
      <c r="E728">
        <v>70105</v>
      </c>
      <c r="F728">
        <v>34821</v>
      </c>
      <c r="G728">
        <v>35284</v>
      </c>
    </row>
    <row r="729" spans="1:7" x14ac:dyDescent="0.25">
      <c r="A729">
        <v>7336</v>
      </c>
      <c r="B729" t="s">
        <v>186</v>
      </c>
      <c r="C729" s="1">
        <v>44827</v>
      </c>
      <c r="D729" s="1">
        <v>117974</v>
      </c>
      <c r="E729">
        <v>69949</v>
      </c>
      <c r="F729">
        <v>34714</v>
      </c>
      <c r="G729">
        <v>35235</v>
      </c>
    </row>
    <row r="730" spans="1:7" x14ac:dyDescent="0.25">
      <c r="A730">
        <v>7337</v>
      </c>
      <c r="B730" t="s">
        <v>187</v>
      </c>
      <c r="C730" s="1">
        <v>43831</v>
      </c>
      <c r="D730" s="1">
        <v>44111</v>
      </c>
      <c r="E730">
        <v>110356</v>
      </c>
    </row>
    <row r="731" spans="1:7" x14ac:dyDescent="0.25">
      <c r="A731">
        <v>7337</v>
      </c>
      <c r="B731" t="s">
        <v>187</v>
      </c>
      <c r="C731" s="1">
        <v>44112</v>
      </c>
      <c r="D731" s="1">
        <v>44433</v>
      </c>
      <c r="E731">
        <v>110521</v>
      </c>
    </row>
    <row r="732" spans="1:7" x14ac:dyDescent="0.25">
      <c r="A732">
        <v>7337</v>
      </c>
      <c r="B732" t="s">
        <v>187</v>
      </c>
      <c r="C732" s="1">
        <v>44434</v>
      </c>
      <c r="D732" s="1">
        <v>44826</v>
      </c>
      <c r="E732">
        <v>110783</v>
      </c>
      <c r="F732">
        <v>54600</v>
      </c>
      <c r="G732">
        <v>56183</v>
      </c>
    </row>
    <row r="733" spans="1:7" x14ac:dyDescent="0.25">
      <c r="A733">
        <v>7337</v>
      </c>
      <c r="B733" t="s">
        <v>187</v>
      </c>
      <c r="C733" s="1">
        <v>44827</v>
      </c>
      <c r="D733" s="1">
        <v>117974</v>
      </c>
      <c r="E733">
        <v>111279</v>
      </c>
      <c r="F733">
        <v>54838</v>
      </c>
      <c r="G733">
        <v>56441</v>
      </c>
    </row>
    <row r="734" spans="1:7" x14ac:dyDescent="0.25">
      <c r="A734">
        <v>7338</v>
      </c>
      <c r="B734" t="s">
        <v>188</v>
      </c>
      <c r="C734" s="1">
        <v>43831</v>
      </c>
      <c r="D734" s="1">
        <v>44111</v>
      </c>
      <c r="E734">
        <v>154201</v>
      </c>
    </row>
    <row r="735" spans="1:7" x14ac:dyDescent="0.25">
      <c r="A735">
        <v>7338</v>
      </c>
      <c r="B735" t="s">
        <v>188</v>
      </c>
      <c r="C735" s="1">
        <v>44112</v>
      </c>
      <c r="D735" s="1">
        <v>44433</v>
      </c>
      <c r="E735">
        <v>154609</v>
      </c>
    </row>
    <row r="736" spans="1:7" x14ac:dyDescent="0.25">
      <c r="A736">
        <v>7338</v>
      </c>
      <c r="B736" t="s">
        <v>188</v>
      </c>
      <c r="C736" s="1">
        <v>44434</v>
      </c>
      <c r="D736" s="1">
        <v>44826</v>
      </c>
      <c r="E736">
        <v>154754</v>
      </c>
      <c r="F736">
        <v>76338</v>
      </c>
      <c r="G736">
        <v>78416</v>
      </c>
    </row>
    <row r="737" spans="1:7" x14ac:dyDescent="0.25">
      <c r="A737">
        <v>7338</v>
      </c>
      <c r="B737" t="s">
        <v>188</v>
      </c>
      <c r="C737" s="1">
        <v>44827</v>
      </c>
      <c r="D737" s="1">
        <v>117974</v>
      </c>
      <c r="E737">
        <v>155050</v>
      </c>
      <c r="F737">
        <v>76418</v>
      </c>
      <c r="G737">
        <v>78632</v>
      </c>
    </row>
    <row r="738" spans="1:7" x14ac:dyDescent="0.25">
      <c r="A738">
        <v>7339</v>
      </c>
      <c r="B738" t="s">
        <v>189</v>
      </c>
      <c r="C738" s="1">
        <v>43831</v>
      </c>
      <c r="D738" s="1">
        <v>44111</v>
      </c>
      <c r="E738">
        <v>210889</v>
      </c>
    </row>
    <row r="739" spans="1:7" x14ac:dyDescent="0.25">
      <c r="A739">
        <v>7339</v>
      </c>
      <c r="B739" t="s">
        <v>189</v>
      </c>
      <c r="C739" s="1">
        <v>44112</v>
      </c>
      <c r="D739" s="1">
        <v>44433</v>
      </c>
      <c r="E739">
        <v>211417</v>
      </c>
    </row>
    <row r="740" spans="1:7" x14ac:dyDescent="0.25">
      <c r="A740">
        <v>7339</v>
      </c>
      <c r="B740" t="s">
        <v>189</v>
      </c>
      <c r="C740" s="1">
        <v>44434</v>
      </c>
      <c r="D740" s="1">
        <v>44826</v>
      </c>
      <c r="E740">
        <v>211525</v>
      </c>
      <c r="F740">
        <v>104352</v>
      </c>
      <c r="G740">
        <v>107173</v>
      </c>
    </row>
    <row r="741" spans="1:7" x14ac:dyDescent="0.25">
      <c r="A741">
        <v>7339</v>
      </c>
      <c r="B741" t="s">
        <v>189</v>
      </c>
      <c r="C741" s="1">
        <v>44827</v>
      </c>
      <c r="D741" s="1">
        <v>117974</v>
      </c>
      <c r="E741">
        <v>212420</v>
      </c>
      <c r="F741">
        <v>104837</v>
      </c>
      <c r="G741">
        <v>107583</v>
      </c>
    </row>
    <row r="742" spans="1:7" x14ac:dyDescent="0.25">
      <c r="A742">
        <v>7340</v>
      </c>
      <c r="B742" t="s">
        <v>190</v>
      </c>
      <c r="C742" s="1">
        <v>43831</v>
      </c>
      <c r="D742" s="1">
        <v>44111</v>
      </c>
      <c r="E742">
        <v>95113</v>
      </c>
    </row>
    <row r="743" spans="1:7" x14ac:dyDescent="0.25">
      <c r="A743">
        <v>7340</v>
      </c>
      <c r="B743" t="s">
        <v>190</v>
      </c>
      <c r="C743" s="1">
        <v>44112</v>
      </c>
      <c r="D743" s="1">
        <v>44433</v>
      </c>
      <c r="E743">
        <v>94831</v>
      </c>
    </row>
    <row r="744" spans="1:7" x14ac:dyDescent="0.25">
      <c r="A744">
        <v>7340</v>
      </c>
      <c r="B744" t="s">
        <v>190</v>
      </c>
      <c r="C744" s="1">
        <v>44434</v>
      </c>
      <c r="D744" s="1">
        <v>44826</v>
      </c>
      <c r="E744">
        <v>94912</v>
      </c>
      <c r="F744">
        <v>46838</v>
      </c>
      <c r="G744">
        <v>48074</v>
      </c>
    </row>
    <row r="745" spans="1:7" x14ac:dyDescent="0.25">
      <c r="A745">
        <v>7340</v>
      </c>
      <c r="B745" t="s">
        <v>190</v>
      </c>
      <c r="C745" s="1">
        <v>44827</v>
      </c>
      <c r="D745" s="1">
        <v>117974</v>
      </c>
      <c r="E745">
        <v>94819</v>
      </c>
      <c r="F745">
        <v>46753</v>
      </c>
      <c r="G745">
        <v>48066</v>
      </c>
    </row>
    <row r="746" spans="1:7" x14ac:dyDescent="0.25">
      <c r="A746">
        <v>8</v>
      </c>
      <c r="B746" t="s">
        <v>191</v>
      </c>
      <c r="C746" s="1">
        <v>43831</v>
      </c>
      <c r="D746" s="1">
        <v>44111</v>
      </c>
      <c r="E746">
        <v>11069533</v>
      </c>
    </row>
    <row r="747" spans="1:7" x14ac:dyDescent="0.25">
      <c r="A747">
        <v>8</v>
      </c>
      <c r="B747" t="s">
        <v>191</v>
      </c>
      <c r="C747" s="1">
        <v>44112</v>
      </c>
      <c r="D747" s="1">
        <v>44433</v>
      </c>
      <c r="E747">
        <v>11100394</v>
      </c>
    </row>
    <row r="748" spans="1:7" x14ac:dyDescent="0.25">
      <c r="A748">
        <v>8</v>
      </c>
      <c r="B748" t="s">
        <v>191</v>
      </c>
      <c r="C748" s="1">
        <v>44434</v>
      </c>
      <c r="D748" s="1">
        <v>44826</v>
      </c>
      <c r="E748">
        <v>11103043</v>
      </c>
      <c r="F748">
        <v>5516636</v>
      </c>
      <c r="G748">
        <v>5586407</v>
      </c>
    </row>
    <row r="749" spans="1:7" x14ac:dyDescent="0.25">
      <c r="A749">
        <v>8</v>
      </c>
      <c r="B749" t="s">
        <v>191</v>
      </c>
      <c r="C749" s="1">
        <v>44827</v>
      </c>
      <c r="D749" s="1">
        <v>117974</v>
      </c>
      <c r="E749">
        <v>11124642</v>
      </c>
      <c r="F749">
        <v>5526110</v>
      </c>
      <c r="G749">
        <v>5598532</v>
      </c>
    </row>
    <row r="750" spans="1:7" x14ac:dyDescent="0.25">
      <c r="A750">
        <v>8111</v>
      </c>
      <c r="B750" t="s">
        <v>192</v>
      </c>
      <c r="C750" s="1">
        <v>43831</v>
      </c>
      <c r="D750" s="1">
        <v>44111</v>
      </c>
      <c r="E750">
        <v>634830</v>
      </c>
    </row>
    <row r="751" spans="1:7" x14ac:dyDescent="0.25">
      <c r="A751">
        <v>8111</v>
      </c>
      <c r="B751" t="s">
        <v>192</v>
      </c>
      <c r="C751" s="1">
        <v>44112</v>
      </c>
      <c r="D751" s="1">
        <v>44433</v>
      </c>
      <c r="E751">
        <v>635911</v>
      </c>
    </row>
    <row r="752" spans="1:7" x14ac:dyDescent="0.25">
      <c r="A752">
        <v>8111</v>
      </c>
      <c r="B752" t="s">
        <v>192</v>
      </c>
      <c r="C752" s="1">
        <v>44434</v>
      </c>
      <c r="D752" s="1">
        <v>44826</v>
      </c>
      <c r="E752">
        <v>630305</v>
      </c>
      <c r="F752">
        <v>314721</v>
      </c>
      <c r="G752">
        <v>315584</v>
      </c>
    </row>
    <row r="753" spans="1:7" x14ac:dyDescent="0.25">
      <c r="A753">
        <v>8111</v>
      </c>
      <c r="B753" t="s">
        <v>192</v>
      </c>
      <c r="C753" s="1">
        <v>44827</v>
      </c>
      <c r="D753" s="1">
        <v>117974</v>
      </c>
      <c r="E753">
        <v>626275</v>
      </c>
      <c r="F753">
        <v>312886</v>
      </c>
      <c r="G753">
        <v>313389</v>
      </c>
    </row>
    <row r="754" spans="1:7" x14ac:dyDescent="0.25">
      <c r="A754">
        <v>8115</v>
      </c>
      <c r="B754" t="s">
        <v>193</v>
      </c>
      <c r="C754" s="1">
        <v>43831</v>
      </c>
      <c r="D754" s="1">
        <v>44111</v>
      </c>
      <c r="E754">
        <v>391640</v>
      </c>
    </row>
    <row r="755" spans="1:7" x14ac:dyDescent="0.25">
      <c r="A755">
        <v>8115</v>
      </c>
      <c r="B755" t="s">
        <v>193</v>
      </c>
      <c r="C755" s="1">
        <v>44112</v>
      </c>
      <c r="D755" s="1">
        <v>44433</v>
      </c>
      <c r="E755">
        <v>392807</v>
      </c>
    </row>
    <row r="756" spans="1:7" x14ac:dyDescent="0.25">
      <c r="A756">
        <v>8115</v>
      </c>
      <c r="B756" t="s">
        <v>193</v>
      </c>
      <c r="C756" s="1">
        <v>44434</v>
      </c>
      <c r="D756" s="1">
        <v>44826</v>
      </c>
      <c r="E756">
        <v>392898</v>
      </c>
      <c r="F756">
        <v>195361</v>
      </c>
      <c r="G756">
        <v>197537</v>
      </c>
    </row>
    <row r="757" spans="1:7" x14ac:dyDescent="0.25">
      <c r="A757">
        <v>8115</v>
      </c>
      <c r="B757" t="s">
        <v>193</v>
      </c>
      <c r="C757" s="1">
        <v>44827</v>
      </c>
      <c r="D757" s="1">
        <v>117974</v>
      </c>
      <c r="E757">
        <v>393195</v>
      </c>
      <c r="F757">
        <v>195513</v>
      </c>
      <c r="G757">
        <v>197682</v>
      </c>
    </row>
    <row r="758" spans="1:7" x14ac:dyDescent="0.25">
      <c r="A758">
        <v>8116</v>
      </c>
      <c r="B758" t="s">
        <v>194</v>
      </c>
      <c r="C758" s="1">
        <v>43831</v>
      </c>
      <c r="D758" s="1">
        <v>44111</v>
      </c>
      <c r="E758">
        <v>533859</v>
      </c>
    </row>
    <row r="759" spans="1:7" x14ac:dyDescent="0.25">
      <c r="A759">
        <v>8116</v>
      </c>
      <c r="B759" t="s">
        <v>194</v>
      </c>
      <c r="C759" s="1">
        <v>44112</v>
      </c>
      <c r="D759" s="1">
        <v>44433</v>
      </c>
      <c r="E759">
        <v>535024</v>
      </c>
    </row>
    <row r="760" spans="1:7" x14ac:dyDescent="0.25">
      <c r="A760">
        <v>8116</v>
      </c>
      <c r="B760" t="s">
        <v>194</v>
      </c>
      <c r="C760" s="1">
        <v>44434</v>
      </c>
      <c r="D760" s="1">
        <v>44826</v>
      </c>
      <c r="E760">
        <v>533617</v>
      </c>
      <c r="F760">
        <v>266492</v>
      </c>
      <c r="G760">
        <v>267125</v>
      </c>
    </row>
    <row r="761" spans="1:7" x14ac:dyDescent="0.25">
      <c r="A761">
        <v>8116</v>
      </c>
      <c r="B761" t="s">
        <v>194</v>
      </c>
      <c r="C761" s="1">
        <v>44827</v>
      </c>
      <c r="D761" s="1">
        <v>117974</v>
      </c>
      <c r="E761">
        <v>533388</v>
      </c>
      <c r="F761">
        <v>266348</v>
      </c>
      <c r="G761">
        <v>267040</v>
      </c>
    </row>
    <row r="762" spans="1:7" x14ac:dyDescent="0.25">
      <c r="A762">
        <v>8117</v>
      </c>
      <c r="B762" t="s">
        <v>195</v>
      </c>
      <c r="C762" s="1">
        <v>43831</v>
      </c>
      <c r="D762" s="1">
        <v>44111</v>
      </c>
      <c r="E762">
        <v>257253</v>
      </c>
    </row>
    <row r="763" spans="1:7" x14ac:dyDescent="0.25">
      <c r="A763">
        <v>8117</v>
      </c>
      <c r="B763" t="s">
        <v>195</v>
      </c>
      <c r="C763" s="1">
        <v>44112</v>
      </c>
      <c r="D763" s="1">
        <v>44433</v>
      </c>
      <c r="E763">
        <v>258145</v>
      </c>
    </row>
    <row r="764" spans="1:7" x14ac:dyDescent="0.25">
      <c r="A764">
        <v>8117</v>
      </c>
      <c r="B764" t="s">
        <v>195</v>
      </c>
      <c r="C764" s="1">
        <v>44434</v>
      </c>
      <c r="D764" s="1">
        <v>44826</v>
      </c>
      <c r="E764">
        <v>258781</v>
      </c>
      <c r="F764">
        <v>129002</v>
      </c>
      <c r="G764">
        <v>129779</v>
      </c>
    </row>
    <row r="765" spans="1:7" x14ac:dyDescent="0.25">
      <c r="A765">
        <v>8117</v>
      </c>
      <c r="B765" t="s">
        <v>195</v>
      </c>
      <c r="C765" s="1">
        <v>44827</v>
      </c>
      <c r="D765" s="1">
        <v>117974</v>
      </c>
      <c r="E765">
        <v>259046</v>
      </c>
      <c r="F765">
        <v>128916</v>
      </c>
      <c r="G765">
        <v>130130</v>
      </c>
    </row>
    <row r="766" spans="1:7" x14ac:dyDescent="0.25">
      <c r="A766">
        <v>8118</v>
      </c>
      <c r="B766" t="s">
        <v>196</v>
      </c>
      <c r="C766" s="1">
        <v>43831</v>
      </c>
      <c r="D766" s="1">
        <v>44111</v>
      </c>
      <c r="E766">
        <v>543984</v>
      </c>
    </row>
    <row r="767" spans="1:7" x14ac:dyDescent="0.25">
      <c r="A767">
        <v>8118</v>
      </c>
      <c r="B767" t="s">
        <v>196</v>
      </c>
      <c r="C767" s="1">
        <v>44112</v>
      </c>
      <c r="D767" s="1">
        <v>44433</v>
      </c>
      <c r="E767">
        <v>545423</v>
      </c>
    </row>
    <row r="768" spans="1:7" x14ac:dyDescent="0.25">
      <c r="A768">
        <v>8118</v>
      </c>
      <c r="B768" t="s">
        <v>196</v>
      </c>
      <c r="C768" s="1">
        <v>44434</v>
      </c>
      <c r="D768" s="1">
        <v>44826</v>
      </c>
      <c r="E768">
        <v>544971</v>
      </c>
      <c r="F768">
        <v>270496</v>
      </c>
      <c r="G768">
        <v>274475</v>
      </c>
    </row>
    <row r="769" spans="1:7" x14ac:dyDescent="0.25">
      <c r="A769">
        <v>8118</v>
      </c>
      <c r="B769" t="s">
        <v>196</v>
      </c>
      <c r="C769" s="1">
        <v>44827</v>
      </c>
      <c r="D769" s="1">
        <v>117974</v>
      </c>
      <c r="E769">
        <v>544679</v>
      </c>
      <c r="F769">
        <v>270057</v>
      </c>
      <c r="G769">
        <v>274622</v>
      </c>
    </row>
    <row r="770" spans="1:7" x14ac:dyDescent="0.25">
      <c r="A770">
        <v>8119</v>
      </c>
      <c r="B770" t="s">
        <v>197</v>
      </c>
      <c r="C770" s="1">
        <v>43831</v>
      </c>
      <c r="D770" s="1">
        <v>44111</v>
      </c>
      <c r="E770">
        <v>426158</v>
      </c>
    </row>
    <row r="771" spans="1:7" x14ac:dyDescent="0.25">
      <c r="A771">
        <v>8119</v>
      </c>
      <c r="B771" t="s">
        <v>197</v>
      </c>
      <c r="C771" s="1">
        <v>44112</v>
      </c>
      <c r="D771" s="1">
        <v>44433</v>
      </c>
      <c r="E771">
        <v>427248</v>
      </c>
    </row>
    <row r="772" spans="1:7" x14ac:dyDescent="0.25">
      <c r="A772">
        <v>8119</v>
      </c>
      <c r="B772" t="s">
        <v>197</v>
      </c>
      <c r="C772" s="1">
        <v>44434</v>
      </c>
      <c r="D772" s="1">
        <v>44826</v>
      </c>
      <c r="E772">
        <v>427286</v>
      </c>
      <c r="F772">
        <v>211269</v>
      </c>
      <c r="G772">
        <v>216017</v>
      </c>
    </row>
    <row r="773" spans="1:7" x14ac:dyDescent="0.25">
      <c r="A773">
        <v>8119</v>
      </c>
      <c r="B773" t="s">
        <v>197</v>
      </c>
      <c r="C773" s="1">
        <v>44827</v>
      </c>
      <c r="D773" s="1">
        <v>117974</v>
      </c>
      <c r="E773">
        <v>427316</v>
      </c>
      <c r="F773">
        <v>211185</v>
      </c>
      <c r="G773">
        <v>216131</v>
      </c>
    </row>
    <row r="774" spans="1:7" x14ac:dyDescent="0.25">
      <c r="A774">
        <v>8121</v>
      </c>
      <c r="B774" t="s">
        <v>198</v>
      </c>
      <c r="C774" s="1">
        <v>43831</v>
      </c>
      <c r="D774" s="1">
        <v>44111</v>
      </c>
      <c r="E774">
        <v>125960</v>
      </c>
    </row>
    <row r="775" spans="1:7" x14ac:dyDescent="0.25">
      <c r="A775">
        <v>8121</v>
      </c>
      <c r="B775" t="s">
        <v>198</v>
      </c>
      <c r="C775" s="1">
        <v>44112</v>
      </c>
      <c r="D775" s="1">
        <v>44433</v>
      </c>
      <c r="E775">
        <v>126592</v>
      </c>
    </row>
    <row r="776" spans="1:7" x14ac:dyDescent="0.25">
      <c r="A776">
        <v>8121</v>
      </c>
      <c r="B776" t="s">
        <v>198</v>
      </c>
      <c r="C776" s="1">
        <v>44434</v>
      </c>
      <c r="D776" s="1">
        <v>44826</v>
      </c>
      <c r="E776">
        <v>126458</v>
      </c>
      <c r="F776">
        <v>63756</v>
      </c>
      <c r="G776">
        <v>62702</v>
      </c>
    </row>
    <row r="777" spans="1:7" x14ac:dyDescent="0.25">
      <c r="A777">
        <v>8121</v>
      </c>
      <c r="B777" t="s">
        <v>198</v>
      </c>
      <c r="C777" s="1">
        <v>44827</v>
      </c>
      <c r="D777" s="1">
        <v>117974</v>
      </c>
      <c r="E777">
        <v>125613</v>
      </c>
      <c r="F777">
        <v>63138</v>
      </c>
      <c r="G777">
        <v>62475</v>
      </c>
    </row>
    <row r="778" spans="1:7" x14ac:dyDescent="0.25">
      <c r="A778">
        <v>8125</v>
      </c>
      <c r="B778" t="s">
        <v>199</v>
      </c>
      <c r="C778" s="1">
        <v>43831</v>
      </c>
      <c r="D778" s="1">
        <v>44111</v>
      </c>
      <c r="E778">
        <v>343068</v>
      </c>
    </row>
    <row r="779" spans="1:7" x14ac:dyDescent="0.25">
      <c r="A779">
        <v>8125</v>
      </c>
      <c r="B779" t="s">
        <v>199</v>
      </c>
      <c r="C779" s="1">
        <v>44112</v>
      </c>
      <c r="D779" s="1">
        <v>44433</v>
      </c>
      <c r="E779">
        <v>344456</v>
      </c>
    </row>
    <row r="780" spans="1:7" x14ac:dyDescent="0.25">
      <c r="A780">
        <v>8125</v>
      </c>
      <c r="B780" t="s">
        <v>199</v>
      </c>
      <c r="C780" s="1">
        <v>44434</v>
      </c>
      <c r="D780" s="1">
        <v>44826</v>
      </c>
      <c r="E780">
        <v>346363</v>
      </c>
      <c r="F780">
        <v>173850</v>
      </c>
      <c r="G780">
        <v>172513</v>
      </c>
    </row>
    <row r="781" spans="1:7" x14ac:dyDescent="0.25">
      <c r="A781">
        <v>8125</v>
      </c>
      <c r="B781" t="s">
        <v>199</v>
      </c>
      <c r="C781" s="1">
        <v>44827</v>
      </c>
      <c r="D781" s="1">
        <v>117974</v>
      </c>
      <c r="E781">
        <v>347798</v>
      </c>
      <c r="F781">
        <v>174514</v>
      </c>
      <c r="G781">
        <v>173284</v>
      </c>
    </row>
    <row r="782" spans="1:7" x14ac:dyDescent="0.25">
      <c r="A782">
        <v>8126</v>
      </c>
      <c r="B782" t="s">
        <v>200</v>
      </c>
      <c r="C782" s="1">
        <v>43831</v>
      </c>
      <c r="D782" s="1">
        <v>44111</v>
      </c>
      <c r="E782">
        <v>112010</v>
      </c>
    </row>
    <row r="783" spans="1:7" x14ac:dyDescent="0.25">
      <c r="A783">
        <v>8126</v>
      </c>
      <c r="B783" t="s">
        <v>200</v>
      </c>
      <c r="C783" s="1">
        <v>44112</v>
      </c>
      <c r="D783" s="1">
        <v>44433</v>
      </c>
      <c r="E783">
        <v>112655</v>
      </c>
    </row>
    <row r="784" spans="1:7" x14ac:dyDescent="0.25">
      <c r="A784">
        <v>8126</v>
      </c>
      <c r="B784" t="s">
        <v>200</v>
      </c>
      <c r="C784" s="1">
        <v>44434</v>
      </c>
      <c r="D784" s="1">
        <v>44826</v>
      </c>
      <c r="E784">
        <v>112765</v>
      </c>
      <c r="F784">
        <v>56886</v>
      </c>
      <c r="G784">
        <v>55879</v>
      </c>
    </row>
    <row r="785" spans="1:7" x14ac:dyDescent="0.25">
      <c r="A785">
        <v>8126</v>
      </c>
      <c r="B785" t="s">
        <v>200</v>
      </c>
      <c r="C785" s="1">
        <v>44827</v>
      </c>
      <c r="D785" s="1">
        <v>117974</v>
      </c>
      <c r="E785">
        <v>113318</v>
      </c>
      <c r="F785">
        <v>57184</v>
      </c>
      <c r="G785">
        <v>56134</v>
      </c>
    </row>
    <row r="786" spans="1:7" x14ac:dyDescent="0.25">
      <c r="A786">
        <v>8127</v>
      </c>
      <c r="B786" t="s">
        <v>201</v>
      </c>
      <c r="C786" s="1">
        <v>43831</v>
      </c>
      <c r="D786" s="1">
        <v>44111</v>
      </c>
      <c r="E786">
        <v>195861</v>
      </c>
    </row>
    <row r="787" spans="1:7" x14ac:dyDescent="0.25">
      <c r="A787">
        <v>8127</v>
      </c>
      <c r="B787" t="s">
        <v>201</v>
      </c>
      <c r="C787" s="1">
        <v>44112</v>
      </c>
      <c r="D787" s="1">
        <v>44433</v>
      </c>
      <c r="E787">
        <v>196761</v>
      </c>
    </row>
    <row r="788" spans="1:7" x14ac:dyDescent="0.25">
      <c r="A788">
        <v>8127</v>
      </c>
      <c r="B788" t="s">
        <v>201</v>
      </c>
      <c r="C788" s="1">
        <v>44434</v>
      </c>
      <c r="D788" s="1">
        <v>44826</v>
      </c>
      <c r="E788">
        <v>197860</v>
      </c>
      <c r="F788">
        <v>99297</v>
      </c>
      <c r="G788">
        <v>98563</v>
      </c>
    </row>
    <row r="789" spans="1:7" x14ac:dyDescent="0.25">
      <c r="A789">
        <v>8127</v>
      </c>
      <c r="B789" t="s">
        <v>201</v>
      </c>
      <c r="C789" s="1">
        <v>44827</v>
      </c>
      <c r="D789" s="1">
        <v>117974</v>
      </c>
      <c r="E789">
        <v>199398</v>
      </c>
      <c r="F789">
        <v>100206</v>
      </c>
      <c r="G789">
        <v>99192</v>
      </c>
    </row>
    <row r="790" spans="1:7" x14ac:dyDescent="0.25">
      <c r="A790">
        <v>8128</v>
      </c>
      <c r="B790" t="s">
        <v>202</v>
      </c>
      <c r="C790" s="1">
        <v>43831</v>
      </c>
      <c r="D790" s="1">
        <v>44111</v>
      </c>
      <c r="E790">
        <v>132321</v>
      </c>
    </row>
    <row r="791" spans="1:7" x14ac:dyDescent="0.25">
      <c r="A791">
        <v>8128</v>
      </c>
      <c r="B791" t="s">
        <v>202</v>
      </c>
      <c r="C791" s="1">
        <v>44112</v>
      </c>
      <c r="D791" s="1">
        <v>44433</v>
      </c>
      <c r="E791">
        <v>132399</v>
      </c>
    </row>
    <row r="792" spans="1:7" x14ac:dyDescent="0.25">
      <c r="A792">
        <v>8128</v>
      </c>
      <c r="B792" t="s">
        <v>202</v>
      </c>
      <c r="C792" s="1">
        <v>44434</v>
      </c>
      <c r="D792" s="1">
        <v>44826</v>
      </c>
      <c r="E792">
        <v>132684</v>
      </c>
      <c r="F792">
        <v>66226</v>
      </c>
      <c r="G792">
        <v>66458</v>
      </c>
    </row>
    <row r="793" spans="1:7" x14ac:dyDescent="0.25">
      <c r="A793">
        <v>8128</v>
      </c>
      <c r="B793" t="s">
        <v>202</v>
      </c>
      <c r="C793" s="1">
        <v>44827</v>
      </c>
      <c r="D793" s="1">
        <v>117974</v>
      </c>
      <c r="E793">
        <v>132956</v>
      </c>
      <c r="F793">
        <v>66403</v>
      </c>
      <c r="G793">
        <v>66553</v>
      </c>
    </row>
    <row r="794" spans="1:7" x14ac:dyDescent="0.25">
      <c r="A794">
        <v>8135</v>
      </c>
      <c r="B794" t="s">
        <v>203</v>
      </c>
      <c r="C794" s="1">
        <v>43831</v>
      </c>
      <c r="D794" s="1">
        <v>44111</v>
      </c>
      <c r="E794">
        <v>132472</v>
      </c>
    </row>
    <row r="795" spans="1:7" x14ac:dyDescent="0.25">
      <c r="A795">
        <v>8135</v>
      </c>
      <c r="B795" t="s">
        <v>203</v>
      </c>
      <c r="C795" s="1">
        <v>44112</v>
      </c>
      <c r="D795" s="1">
        <v>44433</v>
      </c>
      <c r="E795">
        <v>132777</v>
      </c>
    </row>
    <row r="796" spans="1:7" x14ac:dyDescent="0.25">
      <c r="A796">
        <v>8135</v>
      </c>
      <c r="B796" t="s">
        <v>203</v>
      </c>
      <c r="C796" s="1">
        <v>44434</v>
      </c>
      <c r="D796" s="1">
        <v>44826</v>
      </c>
      <c r="E796">
        <v>132812</v>
      </c>
      <c r="F796">
        <v>66132</v>
      </c>
      <c r="G796">
        <v>66680</v>
      </c>
    </row>
    <row r="797" spans="1:7" x14ac:dyDescent="0.25">
      <c r="A797">
        <v>8135</v>
      </c>
      <c r="B797" t="s">
        <v>203</v>
      </c>
      <c r="C797" s="1">
        <v>44827</v>
      </c>
      <c r="D797" s="1">
        <v>117974</v>
      </c>
      <c r="E797">
        <v>132958</v>
      </c>
      <c r="F797">
        <v>66273</v>
      </c>
      <c r="G797">
        <v>66685</v>
      </c>
    </row>
    <row r="798" spans="1:7" x14ac:dyDescent="0.25">
      <c r="A798">
        <v>8136</v>
      </c>
      <c r="B798" t="s">
        <v>204</v>
      </c>
      <c r="C798" s="1">
        <v>43831</v>
      </c>
      <c r="D798" s="1">
        <v>44111</v>
      </c>
      <c r="E798">
        <v>314002</v>
      </c>
    </row>
    <row r="799" spans="1:7" x14ac:dyDescent="0.25">
      <c r="A799">
        <v>8136</v>
      </c>
      <c r="B799" t="s">
        <v>204</v>
      </c>
      <c r="C799" s="1">
        <v>44112</v>
      </c>
      <c r="D799" s="1">
        <v>44433</v>
      </c>
      <c r="E799">
        <v>314025</v>
      </c>
    </row>
    <row r="800" spans="1:7" x14ac:dyDescent="0.25">
      <c r="A800">
        <v>8136</v>
      </c>
      <c r="B800" t="s">
        <v>204</v>
      </c>
      <c r="C800" s="1">
        <v>44434</v>
      </c>
      <c r="D800" s="1">
        <v>44826</v>
      </c>
      <c r="E800">
        <v>314294</v>
      </c>
      <c r="F800">
        <v>156574</v>
      </c>
      <c r="G800">
        <v>157720</v>
      </c>
    </row>
    <row r="801" spans="1:7" x14ac:dyDescent="0.25">
      <c r="A801">
        <v>8136</v>
      </c>
      <c r="B801" t="s">
        <v>204</v>
      </c>
      <c r="C801" s="1">
        <v>44827</v>
      </c>
      <c r="D801" s="1">
        <v>117974</v>
      </c>
      <c r="E801">
        <v>315009</v>
      </c>
      <c r="F801">
        <v>156818</v>
      </c>
      <c r="G801">
        <v>158191</v>
      </c>
    </row>
    <row r="802" spans="1:7" x14ac:dyDescent="0.25">
      <c r="A802">
        <v>8211</v>
      </c>
      <c r="B802" t="s">
        <v>205</v>
      </c>
      <c r="C802" s="1">
        <v>43831</v>
      </c>
      <c r="D802" s="1">
        <v>44111</v>
      </c>
      <c r="E802">
        <v>55123</v>
      </c>
    </row>
    <row r="803" spans="1:7" x14ac:dyDescent="0.25">
      <c r="A803">
        <v>8211</v>
      </c>
      <c r="B803" t="s">
        <v>205</v>
      </c>
      <c r="C803" s="1">
        <v>44112</v>
      </c>
      <c r="D803" s="1">
        <v>44433</v>
      </c>
      <c r="E803">
        <v>55185</v>
      </c>
    </row>
    <row r="804" spans="1:7" x14ac:dyDescent="0.25">
      <c r="A804">
        <v>8211</v>
      </c>
      <c r="B804" t="s">
        <v>205</v>
      </c>
      <c r="C804" s="1">
        <v>44434</v>
      </c>
      <c r="D804" s="1">
        <v>44826</v>
      </c>
      <c r="E804">
        <v>55449</v>
      </c>
      <c r="F804">
        <v>26664</v>
      </c>
      <c r="G804">
        <v>28785</v>
      </c>
    </row>
    <row r="805" spans="1:7" x14ac:dyDescent="0.25">
      <c r="A805">
        <v>8211</v>
      </c>
      <c r="B805" t="s">
        <v>205</v>
      </c>
      <c r="C805" s="1">
        <v>44827</v>
      </c>
      <c r="D805" s="1">
        <v>117974</v>
      </c>
      <c r="E805">
        <v>55527</v>
      </c>
      <c r="F805">
        <v>26715</v>
      </c>
      <c r="G805">
        <v>28812</v>
      </c>
    </row>
    <row r="806" spans="1:7" x14ac:dyDescent="0.25">
      <c r="A806">
        <v>8212</v>
      </c>
      <c r="B806" t="s">
        <v>206</v>
      </c>
      <c r="C806" s="1">
        <v>43831</v>
      </c>
      <c r="D806" s="1">
        <v>44111</v>
      </c>
      <c r="E806">
        <v>313092</v>
      </c>
    </row>
    <row r="807" spans="1:7" x14ac:dyDescent="0.25">
      <c r="A807">
        <v>8212</v>
      </c>
      <c r="B807" t="s">
        <v>206</v>
      </c>
      <c r="C807" s="1">
        <v>44112</v>
      </c>
      <c r="D807" s="1">
        <v>44433</v>
      </c>
      <c r="E807">
        <v>312060</v>
      </c>
    </row>
    <row r="808" spans="1:7" x14ac:dyDescent="0.25">
      <c r="A808">
        <v>8212</v>
      </c>
      <c r="B808" t="s">
        <v>206</v>
      </c>
      <c r="C808" s="1">
        <v>44434</v>
      </c>
      <c r="D808" s="1">
        <v>44826</v>
      </c>
      <c r="E808">
        <v>308436</v>
      </c>
      <c r="F808">
        <v>157729</v>
      </c>
      <c r="G808">
        <v>150707</v>
      </c>
    </row>
    <row r="809" spans="1:7" x14ac:dyDescent="0.25">
      <c r="A809">
        <v>8212</v>
      </c>
      <c r="B809" t="s">
        <v>206</v>
      </c>
      <c r="C809" s="1">
        <v>44827</v>
      </c>
      <c r="D809" s="1">
        <v>117974</v>
      </c>
      <c r="E809">
        <v>306502</v>
      </c>
      <c r="F809">
        <v>156807</v>
      </c>
      <c r="G809">
        <v>149695</v>
      </c>
    </row>
    <row r="810" spans="1:7" x14ac:dyDescent="0.25">
      <c r="A810">
        <v>8215</v>
      </c>
      <c r="B810" t="s">
        <v>207</v>
      </c>
      <c r="C810" s="1">
        <v>43831</v>
      </c>
      <c r="D810" s="1">
        <v>44111</v>
      </c>
      <c r="E810">
        <v>444232</v>
      </c>
    </row>
    <row r="811" spans="1:7" x14ac:dyDescent="0.25">
      <c r="A811">
        <v>8215</v>
      </c>
      <c r="B811" t="s">
        <v>207</v>
      </c>
      <c r="C811" s="1">
        <v>44112</v>
      </c>
      <c r="D811" s="1">
        <v>44433</v>
      </c>
      <c r="E811">
        <v>445101</v>
      </c>
    </row>
    <row r="812" spans="1:7" x14ac:dyDescent="0.25">
      <c r="A812">
        <v>8215</v>
      </c>
      <c r="B812" t="s">
        <v>207</v>
      </c>
      <c r="C812" s="1">
        <v>44434</v>
      </c>
      <c r="D812" s="1">
        <v>44826</v>
      </c>
      <c r="E812">
        <v>446852</v>
      </c>
      <c r="F812">
        <v>222525</v>
      </c>
      <c r="G812">
        <v>224327</v>
      </c>
    </row>
    <row r="813" spans="1:7" x14ac:dyDescent="0.25">
      <c r="A813">
        <v>8215</v>
      </c>
      <c r="B813" t="s">
        <v>207</v>
      </c>
      <c r="C813" s="1">
        <v>44827</v>
      </c>
      <c r="D813" s="1">
        <v>117974</v>
      </c>
      <c r="E813">
        <v>448487</v>
      </c>
      <c r="F813">
        <v>223284</v>
      </c>
      <c r="G813">
        <v>225203</v>
      </c>
    </row>
    <row r="814" spans="1:7" x14ac:dyDescent="0.25">
      <c r="A814">
        <v>8216</v>
      </c>
      <c r="B814" t="s">
        <v>208</v>
      </c>
      <c r="C814" s="1">
        <v>43831</v>
      </c>
      <c r="D814" s="1">
        <v>44111</v>
      </c>
      <c r="E814">
        <v>231018</v>
      </c>
    </row>
    <row r="815" spans="1:7" x14ac:dyDescent="0.25">
      <c r="A815">
        <v>8216</v>
      </c>
      <c r="B815" t="s">
        <v>208</v>
      </c>
      <c r="C815" s="1">
        <v>44112</v>
      </c>
      <c r="D815" s="1">
        <v>44433</v>
      </c>
      <c r="E815">
        <v>231420</v>
      </c>
    </row>
    <row r="816" spans="1:7" x14ac:dyDescent="0.25">
      <c r="A816">
        <v>8216</v>
      </c>
      <c r="B816" t="s">
        <v>208</v>
      </c>
      <c r="C816" s="1">
        <v>44434</v>
      </c>
      <c r="D816" s="1">
        <v>44826</v>
      </c>
      <c r="E816">
        <v>232091</v>
      </c>
      <c r="F816">
        <v>115311</v>
      </c>
      <c r="G816">
        <v>116780</v>
      </c>
    </row>
    <row r="817" spans="1:7" x14ac:dyDescent="0.25">
      <c r="A817">
        <v>8216</v>
      </c>
      <c r="B817" t="s">
        <v>208</v>
      </c>
      <c r="C817" s="1">
        <v>44827</v>
      </c>
      <c r="D817" s="1">
        <v>117974</v>
      </c>
      <c r="E817">
        <v>232296</v>
      </c>
      <c r="F817">
        <v>115408</v>
      </c>
      <c r="G817">
        <v>116888</v>
      </c>
    </row>
    <row r="818" spans="1:7" x14ac:dyDescent="0.25">
      <c r="A818">
        <v>8221</v>
      </c>
      <c r="B818" t="s">
        <v>209</v>
      </c>
      <c r="C818" s="1">
        <v>43831</v>
      </c>
      <c r="D818" s="1">
        <v>44111</v>
      </c>
      <c r="E818">
        <v>160355</v>
      </c>
    </row>
    <row r="819" spans="1:7" x14ac:dyDescent="0.25">
      <c r="A819">
        <v>8221</v>
      </c>
      <c r="B819" t="s">
        <v>209</v>
      </c>
      <c r="C819" s="1">
        <v>44112</v>
      </c>
      <c r="D819" s="1">
        <v>44433</v>
      </c>
      <c r="E819">
        <v>161485</v>
      </c>
    </row>
    <row r="820" spans="1:7" x14ac:dyDescent="0.25">
      <c r="A820">
        <v>8221</v>
      </c>
      <c r="B820" t="s">
        <v>209</v>
      </c>
      <c r="C820" s="1">
        <v>44434</v>
      </c>
      <c r="D820" s="1">
        <v>44826</v>
      </c>
      <c r="E820">
        <v>158741</v>
      </c>
      <c r="F820">
        <v>76264</v>
      </c>
      <c r="G820">
        <v>82477</v>
      </c>
    </row>
    <row r="821" spans="1:7" x14ac:dyDescent="0.25">
      <c r="A821">
        <v>8221</v>
      </c>
      <c r="B821" t="s">
        <v>209</v>
      </c>
      <c r="C821" s="1">
        <v>44827</v>
      </c>
      <c r="D821" s="1">
        <v>117974</v>
      </c>
      <c r="E821">
        <v>159245</v>
      </c>
      <c r="F821">
        <v>76316</v>
      </c>
      <c r="G821">
        <v>82929</v>
      </c>
    </row>
    <row r="822" spans="1:7" x14ac:dyDescent="0.25">
      <c r="A822">
        <v>8222</v>
      </c>
      <c r="B822" t="s">
        <v>210</v>
      </c>
      <c r="C822" s="1">
        <v>43831</v>
      </c>
      <c r="D822" s="1">
        <v>44111</v>
      </c>
      <c r="E822">
        <v>309370</v>
      </c>
    </row>
    <row r="823" spans="1:7" x14ac:dyDescent="0.25">
      <c r="A823">
        <v>8222</v>
      </c>
      <c r="B823" t="s">
        <v>210</v>
      </c>
      <c r="C823" s="1">
        <v>44112</v>
      </c>
      <c r="D823" s="1">
        <v>44433</v>
      </c>
      <c r="E823">
        <v>310658</v>
      </c>
    </row>
    <row r="824" spans="1:7" x14ac:dyDescent="0.25">
      <c r="A824">
        <v>8222</v>
      </c>
      <c r="B824" t="s">
        <v>210</v>
      </c>
      <c r="C824" s="1">
        <v>44434</v>
      </c>
      <c r="D824" s="1">
        <v>44826</v>
      </c>
      <c r="E824">
        <v>309721</v>
      </c>
      <c r="F824">
        <v>154262</v>
      </c>
      <c r="G824">
        <v>155459</v>
      </c>
    </row>
    <row r="825" spans="1:7" x14ac:dyDescent="0.25">
      <c r="A825">
        <v>8222</v>
      </c>
      <c r="B825" t="s">
        <v>210</v>
      </c>
      <c r="C825" s="1">
        <v>44827</v>
      </c>
      <c r="D825" s="1">
        <v>117974</v>
      </c>
      <c r="E825">
        <v>311831</v>
      </c>
      <c r="F825">
        <v>155561</v>
      </c>
      <c r="G825">
        <v>156270</v>
      </c>
    </row>
    <row r="826" spans="1:7" x14ac:dyDescent="0.25">
      <c r="A826">
        <v>8225</v>
      </c>
      <c r="B826" t="s">
        <v>211</v>
      </c>
      <c r="C826" s="1">
        <v>43831</v>
      </c>
      <c r="D826" s="1">
        <v>44111</v>
      </c>
      <c r="E826">
        <v>143535</v>
      </c>
    </row>
    <row r="827" spans="1:7" x14ac:dyDescent="0.25">
      <c r="A827">
        <v>8225</v>
      </c>
      <c r="B827" t="s">
        <v>211</v>
      </c>
      <c r="C827" s="1">
        <v>44112</v>
      </c>
      <c r="D827" s="1">
        <v>44433</v>
      </c>
      <c r="E827">
        <v>143633</v>
      </c>
    </row>
    <row r="828" spans="1:7" x14ac:dyDescent="0.25">
      <c r="A828">
        <v>8225</v>
      </c>
      <c r="B828" t="s">
        <v>211</v>
      </c>
      <c r="C828" s="1">
        <v>44434</v>
      </c>
      <c r="D828" s="1">
        <v>44826</v>
      </c>
      <c r="E828">
        <v>143797</v>
      </c>
      <c r="F828">
        <v>72251</v>
      </c>
      <c r="G828">
        <v>71546</v>
      </c>
    </row>
    <row r="829" spans="1:7" x14ac:dyDescent="0.25">
      <c r="A829">
        <v>8225</v>
      </c>
      <c r="B829" t="s">
        <v>211</v>
      </c>
      <c r="C829" s="1">
        <v>44827</v>
      </c>
      <c r="D829" s="1">
        <v>117974</v>
      </c>
      <c r="E829">
        <v>143929</v>
      </c>
      <c r="F829">
        <v>72230</v>
      </c>
      <c r="G829">
        <v>71699</v>
      </c>
    </row>
    <row r="830" spans="1:7" x14ac:dyDescent="0.25">
      <c r="A830">
        <v>8226</v>
      </c>
      <c r="B830" t="s">
        <v>212</v>
      </c>
      <c r="C830" s="1">
        <v>43831</v>
      </c>
      <c r="D830" s="1">
        <v>44111</v>
      </c>
      <c r="E830">
        <v>547625</v>
      </c>
    </row>
    <row r="831" spans="1:7" x14ac:dyDescent="0.25">
      <c r="A831">
        <v>8226</v>
      </c>
      <c r="B831" t="s">
        <v>212</v>
      </c>
      <c r="C831" s="1">
        <v>44112</v>
      </c>
      <c r="D831" s="1">
        <v>44433</v>
      </c>
      <c r="E831">
        <v>548355</v>
      </c>
    </row>
    <row r="832" spans="1:7" x14ac:dyDescent="0.25">
      <c r="A832">
        <v>8226</v>
      </c>
      <c r="B832" t="s">
        <v>212</v>
      </c>
      <c r="C832" s="1">
        <v>44434</v>
      </c>
      <c r="D832" s="1">
        <v>44826</v>
      </c>
      <c r="E832">
        <v>548233</v>
      </c>
      <c r="F832">
        <v>269639</v>
      </c>
      <c r="G832">
        <v>278594</v>
      </c>
    </row>
    <row r="833" spans="1:7" x14ac:dyDescent="0.25">
      <c r="A833">
        <v>8226</v>
      </c>
      <c r="B833" t="s">
        <v>212</v>
      </c>
      <c r="C833" s="1">
        <v>44827</v>
      </c>
      <c r="D833" s="1">
        <v>117974</v>
      </c>
      <c r="E833">
        <v>549030</v>
      </c>
      <c r="F833">
        <v>269753</v>
      </c>
      <c r="G833">
        <v>279277</v>
      </c>
    </row>
    <row r="834" spans="1:7" x14ac:dyDescent="0.25">
      <c r="A834">
        <v>8231</v>
      </c>
      <c r="B834" t="s">
        <v>213</v>
      </c>
      <c r="C834" s="1">
        <v>43831</v>
      </c>
      <c r="D834" s="1">
        <v>44111</v>
      </c>
      <c r="E834">
        <v>125542</v>
      </c>
    </row>
    <row r="835" spans="1:7" x14ac:dyDescent="0.25">
      <c r="A835">
        <v>8231</v>
      </c>
      <c r="B835" t="s">
        <v>213</v>
      </c>
      <c r="C835" s="1">
        <v>44112</v>
      </c>
      <c r="D835" s="1">
        <v>44433</v>
      </c>
      <c r="E835">
        <v>125957</v>
      </c>
    </row>
    <row r="836" spans="1:7" x14ac:dyDescent="0.25">
      <c r="A836">
        <v>8231</v>
      </c>
      <c r="B836" t="s">
        <v>213</v>
      </c>
      <c r="C836" s="1">
        <v>44434</v>
      </c>
      <c r="D836" s="1">
        <v>44826</v>
      </c>
      <c r="E836">
        <v>126016</v>
      </c>
      <c r="F836">
        <v>62075</v>
      </c>
      <c r="G836">
        <v>63941</v>
      </c>
    </row>
    <row r="837" spans="1:7" x14ac:dyDescent="0.25">
      <c r="A837">
        <v>8231</v>
      </c>
      <c r="B837" t="s">
        <v>213</v>
      </c>
      <c r="C837" s="1">
        <v>44827</v>
      </c>
      <c r="D837" s="1">
        <v>117974</v>
      </c>
      <c r="E837">
        <v>125529</v>
      </c>
      <c r="F837">
        <v>61855</v>
      </c>
      <c r="G837">
        <v>63674</v>
      </c>
    </row>
    <row r="838" spans="1:7" x14ac:dyDescent="0.25">
      <c r="A838">
        <v>8235</v>
      </c>
      <c r="B838" t="s">
        <v>214</v>
      </c>
      <c r="C838" s="1">
        <v>43831</v>
      </c>
      <c r="D838" s="1">
        <v>44111</v>
      </c>
      <c r="E838">
        <v>158397</v>
      </c>
    </row>
    <row r="839" spans="1:7" x14ac:dyDescent="0.25">
      <c r="A839">
        <v>8235</v>
      </c>
      <c r="B839" t="s">
        <v>214</v>
      </c>
      <c r="C839" s="1">
        <v>44112</v>
      </c>
      <c r="D839" s="1">
        <v>44433</v>
      </c>
      <c r="E839">
        <v>159201</v>
      </c>
    </row>
    <row r="840" spans="1:7" x14ac:dyDescent="0.25">
      <c r="A840">
        <v>8235</v>
      </c>
      <c r="B840" t="s">
        <v>214</v>
      </c>
      <c r="C840" s="1">
        <v>44434</v>
      </c>
      <c r="D840" s="1">
        <v>44826</v>
      </c>
      <c r="E840">
        <v>160149</v>
      </c>
      <c r="F840">
        <v>80330</v>
      </c>
      <c r="G840">
        <v>79819</v>
      </c>
    </row>
    <row r="841" spans="1:7" x14ac:dyDescent="0.25">
      <c r="A841">
        <v>8235</v>
      </c>
      <c r="B841" t="s">
        <v>214</v>
      </c>
      <c r="C841" s="1">
        <v>44827</v>
      </c>
      <c r="D841" s="1">
        <v>117974</v>
      </c>
      <c r="E841">
        <v>160686</v>
      </c>
      <c r="F841">
        <v>80687</v>
      </c>
      <c r="G841">
        <v>79999</v>
      </c>
    </row>
    <row r="842" spans="1:7" x14ac:dyDescent="0.25">
      <c r="A842">
        <v>8236</v>
      </c>
      <c r="B842" t="s">
        <v>215</v>
      </c>
      <c r="C842" s="1">
        <v>43831</v>
      </c>
      <c r="D842" s="1">
        <v>44111</v>
      </c>
      <c r="E842">
        <v>198905</v>
      </c>
    </row>
    <row r="843" spans="1:7" x14ac:dyDescent="0.25">
      <c r="A843">
        <v>8236</v>
      </c>
      <c r="B843" t="s">
        <v>215</v>
      </c>
      <c r="C843" s="1">
        <v>44112</v>
      </c>
      <c r="D843" s="1">
        <v>44433</v>
      </c>
      <c r="E843">
        <v>199556</v>
      </c>
    </row>
    <row r="844" spans="1:7" x14ac:dyDescent="0.25">
      <c r="A844">
        <v>8236</v>
      </c>
      <c r="B844" t="s">
        <v>215</v>
      </c>
      <c r="C844" s="1">
        <v>44434</v>
      </c>
      <c r="D844" s="1">
        <v>44826</v>
      </c>
      <c r="E844">
        <v>199752</v>
      </c>
      <c r="F844">
        <v>99079</v>
      </c>
      <c r="G844">
        <v>100673</v>
      </c>
    </row>
    <row r="845" spans="1:7" x14ac:dyDescent="0.25">
      <c r="A845">
        <v>8236</v>
      </c>
      <c r="B845" t="s">
        <v>215</v>
      </c>
      <c r="C845" s="1">
        <v>44827</v>
      </c>
      <c r="D845" s="1">
        <v>117974</v>
      </c>
      <c r="E845">
        <v>200237</v>
      </c>
      <c r="F845">
        <v>99211</v>
      </c>
      <c r="G845">
        <v>101026</v>
      </c>
    </row>
    <row r="846" spans="1:7" x14ac:dyDescent="0.25">
      <c r="A846">
        <v>8237</v>
      </c>
      <c r="B846" t="s">
        <v>216</v>
      </c>
      <c r="C846" s="1">
        <v>43831</v>
      </c>
      <c r="D846" s="1">
        <v>44111</v>
      </c>
      <c r="E846">
        <v>117935</v>
      </c>
    </row>
    <row r="847" spans="1:7" x14ac:dyDescent="0.25">
      <c r="A847">
        <v>8237</v>
      </c>
      <c r="B847" t="s">
        <v>216</v>
      </c>
      <c r="C847" s="1">
        <v>44112</v>
      </c>
      <c r="D847" s="1">
        <v>44433</v>
      </c>
      <c r="E847">
        <v>118243</v>
      </c>
    </row>
    <row r="848" spans="1:7" x14ac:dyDescent="0.25">
      <c r="A848">
        <v>8237</v>
      </c>
      <c r="B848" t="s">
        <v>216</v>
      </c>
      <c r="C848" s="1">
        <v>44434</v>
      </c>
      <c r="D848" s="1">
        <v>44826</v>
      </c>
      <c r="E848">
        <v>118364</v>
      </c>
      <c r="F848">
        <v>59172</v>
      </c>
      <c r="G848">
        <v>59192</v>
      </c>
    </row>
    <row r="849" spans="1:7" x14ac:dyDescent="0.25">
      <c r="A849">
        <v>8237</v>
      </c>
      <c r="B849" t="s">
        <v>216</v>
      </c>
      <c r="C849" s="1">
        <v>44827</v>
      </c>
      <c r="D849" s="1">
        <v>117974</v>
      </c>
      <c r="E849">
        <v>119183</v>
      </c>
      <c r="F849">
        <v>59539</v>
      </c>
      <c r="G849">
        <v>59644</v>
      </c>
    </row>
    <row r="850" spans="1:7" x14ac:dyDescent="0.25">
      <c r="A850">
        <v>8311</v>
      </c>
      <c r="B850" t="s">
        <v>217</v>
      </c>
      <c r="C850" s="1">
        <v>43831</v>
      </c>
      <c r="D850" s="1">
        <v>44111</v>
      </c>
      <c r="E850">
        <v>230241</v>
      </c>
    </row>
    <row r="851" spans="1:7" x14ac:dyDescent="0.25">
      <c r="A851">
        <v>8311</v>
      </c>
      <c r="B851" t="s">
        <v>217</v>
      </c>
      <c r="C851" s="1">
        <v>44112</v>
      </c>
      <c r="D851" s="1">
        <v>44433</v>
      </c>
      <c r="E851">
        <v>231195</v>
      </c>
    </row>
    <row r="852" spans="1:7" x14ac:dyDescent="0.25">
      <c r="A852">
        <v>8311</v>
      </c>
      <c r="B852" t="s">
        <v>217</v>
      </c>
      <c r="C852" s="1">
        <v>44434</v>
      </c>
      <c r="D852" s="1">
        <v>44826</v>
      </c>
      <c r="E852">
        <v>230940</v>
      </c>
      <c r="F852">
        <v>110242</v>
      </c>
      <c r="G852">
        <v>120698</v>
      </c>
    </row>
    <row r="853" spans="1:7" x14ac:dyDescent="0.25">
      <c r="A853">
        <v>8311</v>
      </c>
      <c r="B853" t="s">
        <v>217</v>
      </c>
      <c r="C853" s="1">
        <v>44827</v>
      </c>
      <c r="D853" s="1">
        <v>117974</v>
      </c>
      <c r="E853">
        <v>231848</v>
      </c>
      <c r="F853">
        <v>110660</v>
      </c>
      <c r="G853">
        <v>121188</v>
      </c>
    </row>
    <row r="854" spans="1:7" x14ac:dyDescent="0.25">
      <c r="A854">
        <v>8315</v>
      </c>
      <c r="B854" t="s">
        <v>218</v>
      </c>
      <c r="C854" s="1">
        <v>43831</v>
      </c>
      <c r="D854" s="1">
        <v>44111</v>
      </c>
      <c r="E854">
        <v>262795</v>
      </c>
    </row>
    <row r="855" spans="1:7" x14ac:dyDescent="0.25">
      <c r="A855">
        <v>8315</v>
      </c>
      <c r="B855" t="s">
        <v>218</v>
      </c>
      <c r="C855" s="1">
        <v>44112</v>
      </c>
      <c r="D855" s="1">
        <v>44433</v>
      </c>
      <c r="E855">
        <v>263601</v>
      </c>
    </row>
    <row r="856" spans="1:7" x14ac:dyDescent="0.25">
      <c r="A856">
        <v>8315</v>
      </c>
      <c r="B856" t="s">
        <v>218</v>
      </c>
      <c r="C856" s="1">
        <v>44434</v>
      </c>
      <c r="D856" s="1">
        <v>44826</v>
      </c>
      <c r="E856">
        <v>264867</v>
      </c>
      <c r="F856">
        <v>130620</v>
      </c>
      <c r="G856">
        <v>134247</v>
      </c>
    </row>
    <row r="857" spans="1:7" x14ac:dyDescent="0.25">
      <c r="A857">
        <v>8315</v>
      </c>
      <c r="B857" t="s">
        <v>218</v>
      </c>
      <c r="C857" s="1">
        <v>44827</v>
      </c>
      <c r="D857" s="1">
        <v>117974</v>
      </c>
      <c r="E857">
        <v>265792</v>
      </c>
      <c r="F857">
        <v>131044</v>
      </c>
      <c r="G857">
        <v>134748</v>
      </c>
    </row>
    <row r="858" spans="1:7" x14ac:dyDescent="0.25">
      <c r="A858">
        <v>8316</v>
      </c>
      <c r="B858" t="s">
        <v>219</v>
      </c>
      <c r="C858" s="1">
        <v>43831</v>
      </c>
      <c r="D858" s="1">
        <v>44111</v>
      </c>
      <c r="E858">
        <v>165383</v>
      </c>
    </row>
    <row r="859" spans="1:7" x14ac:dyDescent="0.25">
      <c r="A859">
        <v>8316</v>
      </c>
      <c r="B859" t="s">
        <v>219</v>
      </c>
      <c r="C859" s="1">
        <v>44112</v>
      </c>
      <c r="D859" s="1">
        <v>44433</v>
      </c>
      <c r="E859">
        <v>166408</v>
      </c>
    </row>
    <row r="860" spans="1:7" x14ac:dyDescent="0.25">
      <c r="A860">
        <v>8316</v>
      </c>
      <c r="B860" t="s">
        <v>219</v>
      </c>
      <c r="C860" s="1">
        <v>44434</v>
      </c>
      <c r="D860" s="1">
        <v>44826</v>
      </c>
      <c r="E860">
        <v>166862</v>
      </c>
      <c r="F860">
        <v>82600</v>
      </c>
      <c r="G860">
        <v>84262</v>
      </c>
    </row>
    <row r="861" spans="1:7" x14ac:dyDescent="0.25">
      <c r="A861">
        <v>8316</v>
      </c>
      <c r="B861" t="s">
        <v>219</v>
      </c>
      <c r="C861" s="1">
        <v>44827</v>
      </c>
      <c r="D861" s="1">
        <v>117974</v>
      </c>
      <c r="E861">
        <v>167945</v>
      </c>
      <c r="F861">
        <v>83146</v>
      </c>
      <c r="G861">
        <v>84799</v>
      </c>
    </row>
    <row r="862" spans="1:7" x14ac:dyDescent="0.25">
      <c r="A862">
        <v>8317</v>
      </c>
      <c r="B862" t="s">
        <v>220</v>
      </c>
      <c r="C862" s="1">
        <v>43831</v>
      </c>
      <c r="D862" s="1">
        <v>44111</v>
      </c>
      <c r="E862">
        <v>429479</v>
      </c>
    </row>
    <row r="863" spans="1:7" x14ac:dyDescent="0.25">
      <c r="A863">
        <v>8317</v>
      </c>
      <c r="B863" t="s">
        <v>220</v>
      </c>
      <c r="C863" s="1">
        <v>44112</v>
      </c>
      <c r="D863" s="1">
        <v>44433</v>
      </c>
      <c r="E863">
        <v>430953</v>
      </c>
    </row>
    <row r="864" spans="1:7" x14ac:dyDescent="0.25">
      <c r="A864">
        <v>8317</v>
      </c>
      <c r="B864" t="s">
        <v>220</v>
      </c>
      <c r="C864" s="1">
        <v>44434</v>
      </c>
      <c r="D864" s="1">
        <v>44826</v>
      </c>
      <c r="E864">
        <v>432580</v>
      </c>
      <c r="F864">
        <v>215894</v>
      </c>
      <c r="G864">
        <v>216686</v>
      </c>
    </row>
    <row r="865" spans="1:7" x14ac:dyDescent="0.25">
      <c r="A865">
        <v>8317</v>
      </c>
      <c r="B865" t="s">
        <v>220</v>
      </c>
      <c r="C865" s="1">
        <v>44827</v>
      </c>
      <c r="D865" s="1">
        <v>117974</v>
      </c>
      <c r="E865">
        <v>434535</v>
      </c>
      <c r="F865">
        <v>216889</v>
      </c>
      <c r="G865">
        <v>217646</v>
      </c>
    </row>
    <row r="866" spans="1:7" x14ac:dyDescent="0.25">
      <c r="A866">
        <v>8325</v>
      </c>
      <c r="B866" t="s">
        <v>221</v>
      </c>
      <c r="C866" s="1">
        <v>43831</v>
      </c>
      <c r="D866" s="1">
        <v>44111</v>
      </c>
      <c r="E866">
        <v>139455</v>
      </c>
    </row>
    <row r="867" spans="1:7" x14ac:dyDescent="0.25">
      <c r="A867">
        <v>8325</v>
      </c>
      <c r="B867" t="s">
        <v>221</v>
      </c>
      <c r="C867" s="1">
        <v>44112</v>
      </c>
      <c r="D867" s="1">
        <v>44433</v>
      </c>
      <c r="E867">
        <v>139878</v>
      </c>
    </row>
    <row r="868" spans="1:7" x14ac:dyDescent="0.25">
      <c r="A868">
        <v>8325</v>
      </c>
      <c r="B868" t="s">
        <v>221</v>
      </c>
      <c r="C868" s="1">
        <v>44434</v>
      </c>
      <c r="D868" s="1">
        <v>44826</v>
      </c>
      <c r="E868">
        <v>140166</v>
      </c>
      <c r="F868">
        <v>70101</v>
      </c>
      <c r="G868">
        <v>70065</v>
      </c>
    </row>
    <row r="869" spans="1:7" x14ac:dyDescent="0.25">
      <c r="A869">
        <v>8325</v>
      </c>
      <c r="B869" t="s">
        <v>221</v>
      </c>
      <c r="C869" s="1">
        <v>44827</v>
      </c>
      <c r="D869" s="1">
        <v>117974</v>
      </c>
      <c r="E869">
        <v>140446</v>
      </c>
      <c r="F869">
        <v>70361</v>
      </c>
      <c r="G869">
        <v>70085</v>
      </c>
    </row>
    <row r="870" spans="1:7" x14ac:dyDescent="0.25">
      <c r="A870">
        <v>8326</v>
      </c>
      <c r="B870" t="s">
        <v>222</v>
      </c>
      <c r="C870" s="1">
        <v>43831</v>
      </c>
      <c r="D870" s="1">
        <v>44111</v>
      </c>
      <c r="E870">
        <v>212381</v>
      </c>
    </row>
    <row r="871" spans="1:7" x14ac:dyDescent="0.25">
      <c r="A871">
        <v>8326</v>
      </c>
      <c r="B871" t="s">
        <v>222</v>
      </c>
      <c r="C871" s="1">
        <v>44112</v>
      </c>
      <c r="D871" s="1">
        <v>44433</v>
      </c>
      <c r="E871">
        <v>212506</v>
      </c>
    </row>
    <row r="872" spans="1:7" x14ac:dyDescent="0.25">
      <c r="A872">
        <v>8326</v>
      </c>
      <c r="B872" t="s">
        <v>222</v>
      </c>
      <c r="C872" s="1">
        <v>44434</v>
      </c>
      <c r="D872" s="1">
        <v>44826</v>
      </c>
      <c r="E872">
        <v>212872</v>
      </c>
      <c r="F872">
        <v>105493</v>
      </c>
      <c r="G872">
        <v>107379</v>
      </c>
    </row>
    <row r="873" spans="1:7" x14ac:dyDescent="0.25">
      <c r="A873">
        <v>8326</v>
      </c>
      <c r="B873" t="s">
        <v>222</v>
      </c>
      <c r="C873" s="1">
        <v>44827</v>
      </c>
      <c r="D873" s="1">
        <v>117974</v>
      </c>
      <c r="E873">
        <v>213385</v>
      </c>
      <c r="F873">
        <v>105679</v>
      </c>
      <c r="G873">
        <v>107706</v>
      </c>
    </row>
    <row r="874" spans="1:7" x14ac:dyDescent="0.25">
      <c r="A874">
        <v>8327</v>
      </c>
      <c r="B874" t="s">
        <v>223</v>
      </c>
      <c r="C874" s="1">
        <v>43831</v>
      </c>
      <c r="D874" s="1">
        <v>44111</v>
      </c>
      <c r="E874">
        <v>140152</v>
      </c>
    </row>
    <row r="875" spans="1:7" x14ac:dyDescent="0.25">
      <c r="A875">
        <v>8327</v>
      </c>
      <c r="B875" t="s">
        <v>223</v>
      </c>
      <c r="C875" s="1">
        <v>44112</v>
      </c>
      <c r="D875" s="1">
        <v>44433</v>
      </c>
      <c r="E875">
        <v>140766</v>
      </c>
    </row>
    <row r="876" spans="1:7" x14ac:dyDescent="0.25">
      <c r="A876">
        <v>8327</v>
      </c>
      <c r="B876" t="s">
        <v>223</v>
      </c>
      <c r="C876" s="1">
        <v>44434</v>
      </c>
      <c r="D876" s="1">
        <v>44826</v>
      </c>
      <c r="E876">
        <v>141682</v>
      </c>
      <c r="F876">
        <v>71329</v>
      </c>
      <c r="G876">
        <v>70353</v>
      </c>
    </row>
    <row r="877" spans="1:7" x14ac:dyDescent="0.25">
      <c r="A877">
        <v>8327</v>
      </c>
      <c r="B877" t="s">
        <v>223</v>
      </c>
      <c r="C877" s="1">
        <v>44827</v>
      </c>
      <c r="D877" s="1">
        <v>117974</v>
      </c>
      <c r="E877">
        <v>142414</v>
      </c>
      <c r="F877">
        <v>71732</v>
      </c>
      <c r="G877">
        <v>70682</v>
      </c>
    </row>
    <row r="878" spans="1:7" x14ac:dyDescent="0.25">
      <c r="A878">
        <v>8335</v>
      </c>
      <c r="B878" t="s">
        <v>224</v>
      </c>
      <c r="C878" s="1">
        <v>43831</v>
      </c>
      <c r="D878" s="1">
        <v>44111</v>
      </c>
      <c r="E878">
        <v>285325</v>
      </c>
    </row>
    <row r="879" spans="1:7" x14ac:dyDescent="0.25">
      <c r="A879">
        <v>8335</v>
      </c>
      <c r="B879" t="s">
        <v>224</v>
      </c>
      <c r="C879" s="1">
        <v>44112</v>
      </c>
      <c r="D879" s="1">
        <v>44433</v>
      </c>
      <c r="E879">
        <v>286305</v>
      </c>
    </row>
    <row r="880" spans="1:7" x14ac:dyDescent="0.25">
      <c r="A880">
        <v>8335</v>
      </c>
      <c r="B880" t="s">
        <v>224</v>
      </c>
      <c r="C880" s="1">
        <v>44434</v>
      </c>
      <c r="D880" s="1">
        <v>44826</v>
      </c>
      <c r="E880">
        <v>286876</v>
      </c>
      <c r="F880">
        <v>139527</v>
      </c>
      <c r="G880">
        <v>147349</v>
      </c>
    </row>
    <row r="881" spans="1:7" x14ac:dyDescent="0.25">
      <c r="A881">
        <v>8335</v>
      </c>
      <c r="B881" t="s">
        <v>224</v>
      </c>
      <c r="C881" s="1">
        <v>44827</v>
      </c>
      <c r="D881" s="1">
        <v>117974</v>
      </c>
      <c r="E881">
        <v>288097</v>
      </c>
      <c r="F881">
        <v>139966</v>
      </c>
      <c r="G881">
        <v>148131</v>
      </c>
    </row>
    <row r="882" spans="1:7" x14ac:dyDescent="0.25">
      <c r="A882">
        <v>8336</v>
      </c>
      <c r="B882" t="s">
        <v>225</v>
      </c>
      <c r="C882" s="1">
        <v>43831</v>
      </c>
      <c r="D882" s="1">
        <v>44111</v>
      </c>
      <c r="E882">
        <v>228639</v>
      </c>
    </row>
    <row r="883" spans="1:7" x14ac:dyDescent="0.25">
      <c r="A883">
        <v>8336</v>
      </c>
      <c r="B883" t="s">
        <v>225</v>
      </c>
      <c r="C883" s="1">
        <v>44112</v>
      </c>
      <c r="D883" s="1">
        <v>44433</v>
      </c>
      <c r="E883">
        <v>228736</v>
      </c>
    </row>
    <row r="884" spans="1:7" x14ac:dyDescent="0.25">
      <c r="A884">
        <v>8336</v>
      </c>
      <c r="B884" t="s">
        <v>225</v>
      </c>
      <c r="C884" s="1">
        <v>44434</v>
      </c>
      <c r="D884" s="1">
        <v>44826</v>
      </c>
      <c r="E884">
        <v>228842</v>
      </c>
      <c r="F884">
        <v>112270</v>
      </c>
      <c r="G884">
        <v>116572</v>
      </c>
    </row>
    <row r="885" spans="1:7" x14ac:dyDescent="0.25">
      <c r="A885">
        <v>8336</v>
      </c>
      <c r="B885" t="s">
        <v>225</v>
      </c>
      <c r="C885" s="1">
        <v>44827</v>
      </c>
      <c r="D885" s="1">
        <v>117974</v>
      </c>
      <c r="E885">
        <v>229445</v>
      </c>
      <c r="F885">
        <v>112631</v>
      </c>
      <c r="G885">
        <v>116814</v>
      </c>
    </row>
    <row r="886" spans="1:7" x14ac:dyDescent="0.25">
      <c r="A886">
        <v>8337</v>
      </c>
      <c r="B886" t="s">
        <v>226</v>
      </c>
      <c r="C886" s="1">
        <v>43831</v>
      </c>
      <c r="D886" s="1">
        <v>44111</v>
      </c>
      <c r="E886">
        <v>170619</v>
      </c>
    </row>
    <row r="887" spans="1:7" x14ac:dyDescent="0.25">
      <c r="A887">
        <v>8337</v>
      </c>
      <c r="B887" t="s">
        <v>226</v>
      </c>
      <c r="C887" s="1">
        <v>44112</v>
      </c>
      <c r="D887" s="1">
        <v>44433</v>
      </c>
      <c r="E887">
        <v>171003</v>
      </c>
    </row>
    <row r="888" spans="1:7" x14ac:dyDescent="0.25">
      <c r="A888">
        <v>8337</v>
      </c>
      <c r="B888" t="s">
        <v>226</v>
      </c>
      <c r="C888" s="1">
        <v>44434</v>
      </c>
      <c r="D888" s="1">
        <v>44826</v>
      </c>
      <c r="E888">
        <v>171237</v>
      </c>
      <c r="F888">
        <v>84980</v>
      </c>
      <c r="G888">
        <v>86257</v>
      </c>
    </row>
    <row r="889" spans="1:7" x14ac:dyDescent="0.25">
      <c r="A889">
        <v>8337</v>
      </c>
      <c r="B889" t="s">
        <v>226</v>
      </c>
      <c r="C889" s="1">
        <v>44827</v>
      </c>
      <c r="D889" s="1">
        <v>117974</v>
      </c>
      <c r="E889">
        <v>171249</v>
      </c>
      <c r="F889">
        <v>84942</v>
      </c>
      <c r="G889">
        <v>86307</v>
      </c>
    </row>
    <row r="890" spans="1:7" x14ac:dyDescent="0.25">
      <c r="A890">
        <v>8415</v>
      </c>
      <c r="B890" t="s">
        <v>227</v>
      </c>
      <c r="C890" s="1">
        <v>43831</v>
      </c>
      <c r="D890" s="1">
        <v>44111</v>
      </c>
      <c r="E890">
        <v>286748</v>
      </c>
    </row>
    <row r="891" spans="1:7" x14ac:dyDescent="0.25">
      <c r="A891">
        <v>8415</v>
      </c>
      <c r="B891" t="s">
        <v>227</v>
      </c>
      <c r="C891" s="1">
        <v>44112</v>
      </c>
      <c r="D891" s="1">
        <v>44433</v>
      </c>
      <c r="E891">
        <v>287034</v>
      </c>
    </row>
    <row r="892" spans="1:7" x14ac:dyDescent="0.25">
      <c r="A892">
        <v>8415</v>
      </c>
      <c r="B892" t="s">
        <v>227</v>
      </c>
      <c r="C892" s="1">
        <v>44434</v>
      </c>
      <c r="D892" s="1">
        <v>44826</v>
      </c>
      <c r="E892">
        <v>287497</v>
      </c>
      <c r="F892">
        <v>142572</v>
      </c>
      <c r="G892">
        <v>144925</v>
      </c>
    </row>
    <row r="893" spans="1:7" x14ac:dyDescent="0.25">
      <c r="A893">
        <v>8415</v>
      </c>
      <c r="B893" t="s">
        <v>227</v>
      </c>
      <c r="C893" s="1">
        <v>44827</v>
      </c>
      <c r="D893" s="1">
        <v>117974</v>
      </c>
      <c r="E893">
        <v>288158</v>
      </c>
      <c r="F893">
        <v>142900</v>
      </c>
      <c r="G893">
        <v>145258</v>
      </c>
    </row>
    <row r="894" spans="1:7" x14ac:dyDescent="0.25">
      <c r="A894">
        <v>8416</v>
      </c>
      <c r="B894" t="s">
        <v>228</v>
      </c>
      <c r="C894" s="1">
        <v>43831</v>
      </c>
      <c r="D894" s="1">
        <v>44111</v>
      </c>
      <c r="E894">
        <v>227331</v>
      </c>
    </row>
    <row r="895" spans="1:7" x14ac:dyDescent="0.25">
      <c r="A895">
        <v>8416</v>
      </c>
      <c r="B895" t="s">
        <v>228</v>
      </c>
      <c r="C895" s="1">
        <v>44112</v>
      </c>
      <c r="D895" s="1">
        <v>44433</v>
      </c>
      <c r="E895">
        <v>228678</v>
      </c>
    </row>
    <row r="896" spans="1:7" x14ac:dyDescent="0.25">
      <c r="A896">
        <v>8416</v>
      </c>
      <c r="B896" t="s">
        <v>228</v>
      </c>
      <c r="C896" s="1">
        <v>44434</v>
      </c>
      <c r="D896" s="1">
        <v>44826</v>
      </c>
      <c r="E896">
        <v>228471</v>
      </c>
      <c r="F896">
        <v>111380</v>
      </c>
      <c r="G896">
        <v>117091</v>
      </c>
    </row>
    <row r="897" spans="1:7" x14ac:dyDescent="0.25">
      <c r="A897">
        <v>8416</v>
      </c>
      <c r="B897" t="s">
        <v>228</v>
      </c>
      <c r="C897" s="1">
        <v>44827</v>
      </c>
      <c r="D897" s="1">
        <v>117974</v>
      </c>
      <c r="E897">
        <v>229806</v>
      </c>
      <c r="F897">
        <v>111879</v>
      </c>
      <c r="G897">
        <v>117927</v>
      </c>
    </row>
    <row r="898" spans="1:7" x14ac:dyDescent="0.25">
      <c r="A898">
        <v>8417</v>
      </c>
      <c r="B898" t="s">
        <v>229</v>
      </c>
      <c r="C898" s="1">
        <v>43831</v>
      </c>
      <c r="D898" s="1">
        <v>44111</v>
      </c>
      <c r="E898">
        <v>188935</v>
      </c>
    </row>
    <row r="899" spans="1:7" x14ac:dyDescent="0.25">
      <c r="A899">
        <v>8417</v>
      </c>
      <c r="B899" t="s">
        <v>229</v>
      </c>
      <c r="C899" s="1">
        <v>44112</v>
      </c>
      <c r="D899" s="1">
        <v>44433</v>
      </c>
      <c r="E899">
        <v>189363</v>
      </c>
    </row>
    <row r="900" spans="1:7" x14ac:dyDescent="0.25">
      <c r="A900">
        <v>8417</v>
      </c>
      <c r="B900" t="s">
        <v>229</v>
      </c>
      <c r="C900" s="1">
        <v>44434</v>
      </c>
      <c r="D900" s="1">
        <v>44826</v>
      </c>
      <c r="E900">
        <v>189862</v>
      </c>
      <c r="F900">
        <v>94179</v>
      </c>
      <c r="G900">
        <v>95683</v>
      </c>
    </row>
    <row r="901" spans="1:7" x14ac:dyDescent="0.25">
      <c r="A901">
        <v>8417</v>
      </c>
      <c r="B901" t="s">
        <v>229</v>
      </c>
      <c r="C901" s="1">
        <v>44827</v>
      </c>
      <c r="D901" s="1">
        <v>117974</v>
      </c>
      <c r="E901">
        <v>190545</v>
      </c>
      <c r="F901">
        <v>94483</v>
      </c>
      <c r="G901">
        <v>96062</v>
      </c>
    </row>
    <row r="902" spans="1:7" x14ac:dyDescent="0.25">
      <c r="A902">
        <v>8421</v>
      </c>
      <c r="B902" t="s">
        <v>230</v>
      </c>
      <c r="C902" s="1">
        <v>43831</v>
      </c>
      <c r="D902" s="1">
        <v>44111</v>
      </c>
      <c r="E902">
        <v>126329</v>
      </c>
    </row>
    <row r="903" spans="1:7" x14ac:dyDescent="0.25">
      <c r="A903">
        <v>8421</v>
      </c>
      <c r="B903" t="s">
        <v>230</v>
      </c>
      <c r="C903" s="1">
        <v>44112</v>
      </c>
      <c r="D903" s="1">
        <v>44433</v>
      </c>
      <c r="E903">
        <v>126790</v>
      </c>
    </row>
    <row r="904" spans="1:7" x14ac:dyDescent="0.25">
      <c r="A904">
        <v>8421</v>
      </c>
      <c r="B904" t="s">
        <v>230</v>
      </c>
      <c r="C904" s="1">
        <v>44434</v>
      </c>
      <c r="D904" s="1">
        <v>44826</v>
      </c>
      <c r="E904">
        <v>126405</v>
      </c>
      <c r="F904">
        <v>62745</v>
      </c>
      <c r="G904">
        <v>63660</v>
      </c>
    </row>
    <row r="905" spans="1:7" x14ac:dyDescent="0.25">
      <c r="A905">
        <v>8421</v>
      </c>
      <c r="B905" t="s">
        <v>230</v>
      </c>
      <c r="C905" s="1">
        <v>44827</v>
      </c>
      <c r="D905" s="1">
        <v>117974</v>
      </c>
      <c r="E905">
        <v>126949</v>
      </c>
      <c r="F905">
        <v>62943</v>
      </c>
      <c r="G905">
        <v>64006</v>
      </c>
    </row>
    <row r="906" spans="1:7" x14ac:dyDescent="0.25">
      <c r="A906">
        <v>8425</v>
      </c>
      <c r="B906" t="s">
        <v>231</v>
      </c>
      <c r="C906" s="1">
        <v>43831</v>
      </c>
      <c r="D906" s="1">
        <v>44111</v>
      </c>
      <c r="E906">
        <v>196047</v>
      </c>
    </row>
    <row r="907" spans="1:7" x14ac:dyDescent="0.25">
      <c r="A907">
        <v>8425</v>
      </c>
      <c r="B907" t="s">
        <v>231</v>
      </c>
      <c r="C907" s="1">
        <v>44112</v>
      </c>
      <c r="D907" s="1">
        <v>44433</v>
      </c>
      <c r="E907">
        <v>197076</v>
      </c>
    </row>
    <row r="908" spans="1:7" x14ac:dyDescent="0.25">
      <c r="A908">
        <v>8425</v>
      </c>
      <c r="B908" t="s">
        <v>231</v>
      </c>
      <c r="C908" s="1">
        <v>44434</v>
      </c>
      <c r="D908" s="1">
        <v>44826</v>
      </c>
      <c r="E908">
        <v>198204</v>
      </c>
      <c r="F908">
        <v>99998</v>
      </c>
      <c r="G908">
        <v>98206</v>
      </c>
    </row>
    <row r="909" spans="1:7" x14ac:dyDescent="0.25">
      <c r="A909">
        <v>8425</v>
      </c>
      <c r="B909" t="s">
        <v>231</v>
      </c>
      <c r="C909" s="1">
        <v>44827</v>
      </c>
      <c r="D909" s="1">
        <v>117974</v>
      </c>
      <c r="E909">
        <v>199732</v>
      </c>
      <c r="F909">
        <v>100725</v>
      </c>
      <c r="G909">
        <v>99007</v>
      </c>
    </row>
    <row r="910" spans="1:7" x14ac:dyDescent="0.25">
      <c r="A910">
        <v>8426</v>
      </c>
      <c r="B910" t="s">
        <v>232</v>
      </c>
      <c r="C910" s="1">
        <v>43831</v>
      </c>
      <c r="D910" s="1">
        <v>44111</v>
      </c>
      <c r="E910">
        <v>199742</v>
      </c>
    </row>
    <row r="911" spans="1:7" x14ac:dyDescent="0.25">
      <c r="A911">
        <v>8426</v>
      </c>
      <c r="B911" t="s">
        <v>232</v>
      </c>
      <c r="C911" s="1">
        <v>44112</v>
      </c>
      <c r="D911" s="1">
        <v>44433</v>
      </c>
      <c r="E911">
        <v>201282</v>
      </c>
    </row>
    <row r="912" spans="1:7" x14ac:dyDescent="0.25">
      <c r="A912">
        <v>8426</v>
      </c>
      <c r="B912" t="s">
        <v>232</v>
      </c>
      <c r="C912" s="1">
        <v>44434</v>
      </c>
      <c r="D912" s="1">
        <v>44826</v>
      </c>
      <c r="E912">
        <v>202250</v>
      </c>
      <c r="F912">
        <v>101831</v>
      </c>
      <c r="G912">
        <v>100419</v>
      </c>
    </row>
    <row r="913" spans="1:7" x14ac:dyDescent="0.25">
      <c r="A913">
        <v>8426</v>
      </c>
      <c r="B913" t="s">
        <v>232</v>
      </c>
      <c r="C913" s="1">
        <v>44827</v>
      </c>
      <c r="D913" s="1">
        <v>117974</v>
      </c>
      <c r="E913">
        <v>203244</v>
      </c>
      <c r="F913">
        <v>102385</v>
      </c>
      <c r="G913">
        <v>100859</v>
      </c>
    </row>
    <row r="914" spans="1:7" x14ac:dyDescent="0.25">
      <c r="A914">
        <v>8435</v>
      </c>
      <c r="B914" t="s">
        <v>233</v>
      </c>
      <c r="C914" s="1">
        <v>43831</v>
      </c>
      <c r="D914" s="1">
        <v>44111</v>
      </c>
      <c r="E914">
        <v>216227</v>
      </c>
    </row>
    <row r="915" spans="1:7" x14ac:dyDescent="0.25">
      <c r="A915">
        <v>8435</v>
      </c>
      <c r="B915" t="s">
        <v>233</v>
      </c>
      <c r="C915" s="1">
        <v>44112</v>
      </c>
      <c r="D915" s="1">
        <v>44433</v>
      </c>
      <c r="E915">
        <v>217470</v>
      </c>
    </row>
    <row r="916" spans="1:7" x14ac:dyDescent="0.25">
      <c r="A916">
        <v>8435</v>
      </c>
      <c r="B916" t="s">
        <v>233</v>
      </c>
      <c r="C916" s="1">
        <v>44434</v>
      </c>
      <c r="D916" s="1">
        <v>44826</v>
      </c>
      <c r="E916">
        <v>217901</v>
      </c>
      <c r="F916">
        <v>107350</v>
      </c>
      <c r="G916">
        <v>110551</v>
      </c>
    </row>
    <row r="917" spans="1:7" x14ac:dyDescent="0.25">
      <c r="A917">
        <v>8435</v>
      </c>
      <c r="B917" t="s">
        <v>233</v>
      </c>
      <c r="C917" s="1">
        <v>44827</v>
      </c>
      <c r="D917" s="1">
        <v>117974</v>
      </c>
      <c r="E917">
        <v>218885</v>
      </c>
      <c r="F917">
        <v>107741</v>
      </c>
      <c r="G917">
        <v>111144</v>
      </c>
    </row>
    <row r="918" spans="1:7" x14ac:dyDescent="0.25">
      <c r="A918">
        <v>8436</v>
      </c>
      <c r="B918" t="s">
        <v>234</v>
      </c>
      <c r="C918" s="1">
        <v>43831</v>
      </c>
      <c r="D918" s="1">
        <v>44111</v>
      </c>
      <c r="E918">
        <v>284285</v>
      </c>
    </row>
    <row r="919" spans="1:7" x14ac:dyDescent="0.25">
      <c r="A919">
        <v>8436</v>
      </c>
      <c r="B919" t="s">
        <v>234</v>
      </c>
      <c r="C919" s="1">
        <v>44112</v>
      </c>
      <c r="D919" s="1">
        <v>44433</v>
      </c>
      <c r="E919">
        <v>285424</v>
      </c>
    </row>
    <row r="920" spans="1:7" x14ac:dyDescent="0.25">
      <c r="A920">
        <v>8436</v>
      </c>
      <c r="B920" t="s">
        <v>234</v>
      </c>
      <c r="C920" s="1">
        <v>44434</v>
      </c>
      <c r="D920" s="1">
        <v>44826</v>
      </c>
      <c r="E920">
        <v>285888</v>
      </c>
      <c r="F920">
        <v>142446</v>
      </c>
      <c r="G920">
        <v>143442</v>
      </c>
    </row>
    <row r="921" spans="1:7" x14ac:dyDescent="0.25">
      <c r="A921">
        <v>8436</v>
      </c>
      <c r="B921" t="s">
        <v>234</v>
      </c>
      <c r="C921" s="1">
        <v>44827</v>
      </c>
      <c r="D921" s="1">
        <v>117974</v>
      </c>
      <c r="E921">
        <v>287011</v>
      </c>
      <c r="F921">
        <v>143027</v>
      </c>
      <c r="G921">
        <v>143984</v>
      </c>
    </row>
    <row r="922" spans="1:7" x14ac:dyDescent="0.25">
      <c r="A922">
        <v>8437</v>
      </c>
      <c r="B922" t="s">
        <v>235</v>
      </c>
      <c r="C922" s="1">
        <v>43831</v>
      </c>
      <c r="D922" s="1">
        <v>44111</v>
      </c>
      <c r="E922">
        <v>130873</v>
      </c>
    </row>
    <row r="923" spans="1:7" x14ac:dyDescent="0.25">
      <c r="A923">
        <v>8437</v>
      </c>
      <c r="B923" t="s">
        <v>235</v>
      </c>
      <c r="C923" s="1">
        <v>44112</v>
      </c>
      <c r="D923" s="1">
        <v>44433</v>
      </c>
      <c r="E923">
        <v>130849</v>
      </c>
    </row>
    <row r="924" spans="1:7" x14ac:dyDescent="0.25">
      <c r="A924">
        <v>8437</v>
      </c>
      <c r="B924" t="s">
        <v>235</v>
      </c>
      <c r="C924" s="1">
        <v>44434</v>
      </c>
      <c r="D924" s="1">
        <v>44826</v>
      </c>
      <c r="E924">
        <v>130946</v>
      </c>
      <c r="F924">
        <v>65716</v>
      </c>
      <c r="G924">
        <v>65230</v>
      </c>
    </row>
    <row r="925" spans="1:7" x14ac:dyDescent="0.25">
      <c r="A925">
        <v>8437</v>
      </c>
      <c r="B925" t="s">
        <v>235</v>
      </c>
      <c r="C925" s="1">
        <v>44827</v>
      </c>
      <c r="D925" s="1">
        <v>117974</v>
      </c>
      <c r="E925">
        <v>131725</v>
      </c>
      <c r="F925">
        <v>66170</v>
      </c>
      <c r="G925">
        <v>65555</v>
      </c>
    </row>
    <row r="926" spans="1:7" x14ac:dyDescent="0.25">
      <c r="A926">
        <v>9</v>
      </c>
      <c r="B926" t="s">
        <v>236</v>
      </c>
      <c r="C926" s="1">
        <v>43831</v>
      </c>
      <c r="D926" s="1">
        <v>44111</v>
      </c>
      <c r="E926">
        <v>13076721</v>
      </c>
    </row>
    <row r="927" spans="1:7" x14ac:dyDescent="0.25">
      <c r="A927">
        <v>9</v>
      </c>
      <c r="B927" t="s">
        <v>236</v>
      </c>
      <c r="C927" s="1">
        <v>44112</v>
      </c>
      <c r="D927" s="1">
        <v>44433</v>
      </c>
      <c r="E927">
        <v>13124737</v>
      </c>
    </row>
    <row r="928" spans="1:7" x14ac:dyDescent="0.25">
      <c r="A928">
        <v>9</v>
      </c>
      <c r="B928" t="s">
        <v>236</v>
      </c>
      <c r="C928" s="1">
        <v>44434</v>
      </c>
      <c r="D928" s="1">
        <v>44826</v>
      </c>
      <c r="E928">
        <v>13140183</v>
      </c>
      <c r="F928">
        <v>6512595</v>
      </c>
      <c r="G928">
        <v>6627588</v>
      </c>
    </row>
    <row r="929" spans="1:7" x14ac:dyDescent="0.25">
      <c r="A929">
        <v>9</v>
      </c>
      <c r="B929" t="s">
        <v>236</v>
      </c>
      <c r="C929" s="1">
        <v>44827</v>
      </c>
      <c r="D929" s="1">
        <v>117974</v>
      </c>
      <c r="E929">
        <v>13176989</v>
      </c>
      <c r="F929">
        <v>6532222</v>
      </c>
      <c r="G929">
        <v>6644767</v>
      </c>
    </row>
    <row r="930" spans="1:7" x14ac:dyDescent="0.25">
      <c r="A930">
        <v>9161</v>
      </c>
      <c r="B930" t="s">
        <v>237</v>
      </c>
      <c r="C930" s="1">
        <v>43831</v>
      </c>
      <c r="D930" s="1">
        <v>44111</v>
      </c>
      <c r="E930">
        <v>136981</v>
      </c>
    </row>
    <row r="931" spans="1:7" x14ac:dyDescent="0.25">
      <c r="A931">
        <v>9161</v>
      </c>
      <c r="B931" t="s">
        <v>237</v>
      </c>
      <c r="C931" s="1">
        <v>44112</v>
      </c>
      <c r="D931" s="1">
        <v>44433</v>
      </c>
      <c r="E931">
        <v>137392</v>
      </c>
    </row>
    <row r="932" spans="1:7" x14ac:dyDescent="0.25">
      <c r="A932">
        <v>9161</v>
      </c>
      <c r="B932" t="s">
        <v>237</v>
      </c>
      <c r="C932" s="1">
        <v>44434</v>
      </c>
      <c r="D932" s="1">
        <v>44826</v>
      </c>
      <c r="E932">
        <v>136952</v>
      </c>
      <c r="F932">
        <v>69201</v>
      </c>
      <c r="G932">
        <v>67751</v>
      </c>
    </row>
    <row r="933" spans="1:7" x14ac:dyDescent="0.25">
      <c r="A933">
        <v>9161</v>
      </c>
      <c r="B933" t="s">
        <v>237</v>
      </c>
      <c r="C933" s="1">
        <v>44827</v>
      </c>
      <c r="D933" s="1">
        <v>117974</v>
      </c>
      <c r="E933">
        <v>138016</v>
      </c>
      <c r="F933">
        <v>69858</v>
      </c>
      <c r="G933">
        <v>68158</v>
      </c>
    </row>
    <row r="934" spans="1:7" x14ac:dyDescent="0.25">
      <c r="A934">
        <v>9162</v>
      </c>
      <c r="B934" t="s">
        <v>238</v>
      </c>
      <c r="C934" s="1">
        <v>43831</v>
      </c>
      <c r="D934" s="1">
        <v>44111</v>
      </c>
      <c r="E934">
        <v>1471508</v>
      </c>
    </row>
    <row r="935" spans="1:7" x14ac:dyDescent="0.25">
      <c r="A935">
        <v>9162</v>
      </c>
      <c r="B935" t="s">
        <v>238</v>
      </c>
      <c r="C935" s="1">
        <v>44112</v>
      </c>
      <c r="D935" s="1">
        <v>44433</v>
      </c>
      <c r="E935">
        <v>1484226</v>
      </c>
    </row>
    <row r="936" spans="1:7" x14ac:dyDescent="0.25">
      <c r="A936">
        <v>9162</v>
      </c>
      <c r="B936" t="s">
        <v>238</v>
      </c>
      <c r="C936" s="1">
        <v>44434</v>
      </c>
      <c r="D936" s="1">
        <v>44826</v>
      </c>
      <c r="E936">
        <v>1488202</v>
      </c>
      <c r="F936">
        <v>725905</v>
      </c>
      <c r="G936">
        <v>762297</v>
      </c>
    </row>
    <row r="937" spans="1:7" x14ac:dyDescent="0.25">
      <c r="A937">
        <v>9162</v>
      </c>
      <c r="B937" t="s">
        <v>238</v>
      </c>
      <c r="C937" s="1">
        <v>44827</v>
      </c>
      <c r="D937" s="1">
        <v>117974</v>
      </c>
      <c r="E937">
        <v>1487708</v>
      </c>
      <c r="F937">
        <v>725594</v>
      </c>
      <c r="G937">
        <v>762114</v>
      </c>
    </row>
    <row r="938" spans="1:7" x14ac:dyDescent="0.25">
      <c r="A938">
        <v>9163</v>
      </c>
      <c r="B938" t="s">
        <v>239</v>
      </c>
      <c r="C938" s="1">
        <v>43831</v>
      </c>
      <c r="D938" s="1">
        <v>44111</v>
      </c>
      <c r="E938">
        <v>63324</v>
      </c>
    </row>
    <row r="939" spans="1:7" x14ac:dyDescent="0.25">
      <c r="A939">
        <v>9163</v>
      </c>
      <c r="B939" t="s">
        <v>239</v>
      </c>
      <c r="C939" s="1">
        <v>44112</v>
      </c>
      <c r="D939" s="1">
        <v>44433</v>
      </c>
      <c r="E939">
        <v>63551</v>
      </c>
    </row>
    <row r="940" spans="1:7" x14ac:dyDescent="0.25">
      <c r="A940">
        <v>9163</v>
      </c>
      <c r="B940" t="s">
        <v>239</v>
      </c>
      <c r="C940" s="1">
        <v>44434</v>
      </c>
      <c r="D940" s="1">
        <v>44826</v>
      </c>
      <c r="E940">
        <v>63591</v>
      </c>
      <c r="F940">
        <v>31473</v>
      </c>
      <c r="G940">
        <v>32118</v>
      </c>
    </row>
    <row r="941" spans="1:7" x14ac:dyDescent="0.25">
      <c r="A941">
        <v>9163</v>
      </c>
      <c r="B941" t="s">
        <v>239</v>
      </c>
      <c r="C941" s="1">
        <v>44827</v>
      </c>
      <c r="D941" s="1">
        <v>117974</v>
      </c>
      <c r="E941">
        <v>63508</v>
      </c>
      <c r="F941">
        <v>31438</v>
      </c>
      <c r="G941">
        <v>32070</v>
      </c>
    </row>
    <row r="942" spans="1:7" x14ac:dyDescent="0.25">
      <c r="A942">
        <v>9171</v>
      </c>
      <c r="B942" t="s">
        <v>240</v>
      </c>
      <c r="C942" s="1">
        <v>43831</v>
      </c>
      <c r="D942" s="1">
        <v>44111</v>
      </c>
      <c r="E942">
        <v>111210</v>
      </c>
    </row>
    <row r="943" spans="1:7" x14ac:dyDescent="0.25">
      <c r="A943">
        <v>9171</v>
      </c>
      <c r="B943" t="s">
        <v>240</v>
      </c>
      <c r="C943" s="1">
        <v>44112</v>
      </c>
      <c r="D943" s="1">
        <v>44433</v>
      </c>
      <c r="E943">
        <v>111516</v>
      </c>
    </row>
    <row r="944" spans="1:7" x14ac:dyDescent="0.25">
      <c r="A944">
        <v>9171</v>
      </c>
      <c r="B944" t="s">
        <v>240</v>
      </c>
      <c r="C944" s="1">
        <v>44434</v>
      </c>
      <c r="D944" s="1">
        <v>44826</v>
      </c>
      <c r="E944">
        <v>111654</v>
      </c>
      <c r="F944">
        <v>55249</v>
      </c>
      <c r="G944">
        <v>56405</v>
      </c>
    </row>
    <row r="945" spans="1:7" x14ac:dyDescent="0.25">
      <c r="A945">
        <v>9171</v>
      </c>
      <c r="B945" t="s">
        <v>240</v>
      </c>
      <c r="C945" s="1">
        <v>44827</v>
      </c>
      <c r="D945" s="1">
        <v>117974</v>
      </c>
      <c r="E945">
        <v>112116</v>
      </c>
      <c r="F945">
        <v>55429</v>
      </c>
      <c r="G945">
        <v>56687</v>
      </c>
    </row>
    <row r="946" spans="1:7" x14ac:dyDescent="0.25">
      <c r="A946">
        <v>9172</v>
      </c>
      <c r="B946" t="s">
        <v>241</v>
      </c>
      <c r="C946" s="1">
        <v>43831</v>
      </c>
      <c r="D946" s="1">
        <v>44111</v>
      </c>
      <c r="E946">
        <v>105722</v>
      </c>
    </row>
    <row r="947" spans="1:7" x14ac:dyDescent="0.25">
      <c r="A947">
        <v>9172</v>
      </c>
      <c r="B947" t="s">
        <v>241</v>
      </c>
      <c r="C947" s="1">
        <v>44112</v>
      </c>
      <c r="D947" s="1">
        <v>44433</v>
      </c>
      <c r="E947">
        <v>105929</v>
      </c>
    </row>
    <row r="948" spans="1:7" x14ac:dyDescent="0.25">
      <c r="A948">
        <v>9172</v>
      </c>
      <c r="B948" t="s">
        <v>241</v>
      </c>
      <c r="C948" s="1">
        <v>44434</v>
      </c>
      <c r="D948" s="1">
        <v>44826</v>
      </c>
      <c r="E948">
        <v>106327</v>
      </c>
      <c r="F948">
        <v>52320</v>
      </c>
      <c r="G948">
        <v>54007</v>
      </c>
    </row>
    <row r="949" spans="1:7" x14ac:dyDescent="0.25">
      <c r="A949">
        <v>9172</v>
      </c>
      <c r="B949" t="s">
        <v>241</v>
      </c>
      <c r="C949" s="1">
        <v>44827</v>
      </c>
      <c r="D949" s="1">
        <v>117974</v>
      </c>
      <c r="E949">
        <v>106389</v>
      </c>
      <c r="F949">
        <v>52425</v>
      </c>
      <c r="G949">
        <v>53964</v>
      </c>
    </row>
    <row r="950" spans="1:7" x14ac:dyDescent="0.25">
      <c r="A950">
        <v>9173</v>
      </c>
      <c r="B950" t="s">
        <v>242</v>
      </c>
      <c r="C950" s="1">
        <v>43831</v>
      </c>
      <c r="D950" s="1">
        <v>44111</v>
      </c>
      <c r="E950">
        <v>127227</v>
      </c>
    </row>
    <row r="951" spans="1:7" x14ac:dyDescent="0.25">
      <c r="A951">
        <v>9173</v>
      </c>
      <c r="B951" t="s">
        <v>242</v>
      </c>
      <c r="C951" s="1">
        <v>44112</v>
      </c>
      <c r="D951" s="1">
        <v>44433</v>
      </c>
      <c r="E951">
        <v>127917</v>
      </c>
    </row>
    <row r="952" spans="1:7" x14ac:dyDescent="0.25">
      <c r="A952">
        <v>9173</v>
      </c>
      <c r="B952" t="s">
        <v>242</v>
      </c>
      <c r="C952" s="1">
        <v>44434</v>
      </c>
      <c r="D952" s="1">
        <v>44826</v>
      </c>
      <c r="E952">
        <v>128212</v>
      </c>
      <c r="F952">
        <v>63310</v>
      </c>
      <c r="G952">
        <v>64902</v>
      </c>
    </row>
    <row r="953" spans="1:7" x14ac:dyDescent="0.25">
      <c r="A953">
        <v>9173</v>
      </c>
      <c r="B953" t="s">
        <v>242</v>
      </c>
      <c r="C953" s="1">
        <v>44827</v>
      </c>
      <c r="D953" s="1">
        <v>117974</v>
      </c>
      <c r="E953">
        <v>127919</v>
      </c>
      <c r="F953">
        <v>63112</v>
      </c>
      <c r="G953">
        <v>64807</v>
      </c>
    </row>
    <row r="954" spans="1:7" x14ac:dyDescent="0.25">
      <c r="A954">
        <v>9174</v>
      </c>
      <c r="B954" t="s">
        <v>243</v>
      </c>
      <c r="C954" s="1">
        <v>43831</v>
      </c>
      <c r="D954" s="1">
        <v>44111</v>
      </c>
      <c r="E954">
        <v>153884</v>
      </c>
    </row>
    <row r="955" spans="1:7" x14ac:dyDescent="0.25">
      <c r="A955">
        <v>9174</v>
      </c>
      <c r="B955" t="s">
        <v>243</v>
      </c>
      <c r="C955" s="1">
        <v>44112</v>
      </c>
      <c r="D955" s="1">
        <v>44433</v>
      </c>
      <c r="E955">
        <v>154899</v>
      </c>
    </row>
    <row r="956" spans="1:7" x14ac:dyDescent="0.25">
      <c r="A956">
        <v>9174</v>
      </c>
      <c r="B956" t="s">
        <v>243</v>
      </c>
      <c r="C956" s="1">
        <v>44434</v>
      </c>
      <c r="D956" s="1">
        <v>44826</v>
      </c>
      <c r="E956">
        <v>155117</v>
      </c>
      <c r="F956">
        <v>77459</v>
      </c>
      <c r="G956">
        <v>77658</v>
      </c>
    </row>
    <row r="957" spans="1:7" x14ac:dyDescent="0.25">
      <c r="A957">
        <v>9174</v>
      </c>
      <c r="B957" t="s">
        <v>243</v>
      </c>
      <c r="C957" s="1">
        <v>44827</v>
      </c>
      <c r="D957" s="1">
        <v>117974</v>
      </c>
      <c r="E957">
        <v>155449</v>
      </c>
      <c r="F957">
        <v>77545</v>
      </c>
      <c r="G957">
        <v>77904</v>
      </c>
    </row>
    <row r="958" spans="1:7" x14ac:dyDescent="0.25">
      <c r="A958">
        <v>9175</v>
      </c>
      <c r="B958" t="s">
        <v>244</v>
      </c>
      <c r="C958" s="1">
        <v>43831</v>
      </c>
      <c r="D958" s="1">
        <v>44111</v>
      </c>
      <c r="E958">
        <v>142142</v>
      </c>
    </row>
    <row r="959" spans="1:7" x14ac:dyDescent="0.25">
      <c r="A959">
        <v>9175</v>
      </c>
      <c r="B959" t="s">
        <v>244</v>
      </c>
      <c r="C959" s="1">
        <v>44112</v>
      </c>
      <c r="D959" s="1">
        <v>44433</v>
      </c>
      <c r="E959">
        <v>143649</v>
      </c>
    </row>
    <row r="960" spans="1:7" x14ac:dyDescent="0.25">
      <c r="A960">
        <v>9175</v>
      </c>
      <c r="B960" t="s">
        <v>244</v>
      </c>
      <c r="C960" s="1">
        <v>44434</v>
      </c>
      <c r="D960" s="1">
        <v>44826</v>
      </c>
      <c r="E960">
        <v>144091</v>
      </c>
      <c r="F960">
        <v>72048</v>
      </c>
      <c r="G960">
        <v>72043</v>
      </c>
    </row>
    <row r="961" spans="1:7" x14ac:dyDescent="0.25">
      <c r="A961">
        <v>9175</v>
      </c>
      <c r="B961" t="s">
        <v>244</v>
      </c>
      <c r="C961" s="1">
        <v>44827</v>
      </c>
      <c r="D961" s="1">
        <v>117974</v>
      </c>
      <c r="E961">
        <v>144562</v>
      </c>
      <c r="F961">
        <v>72179</v>
      </c>
      <c r="G961">
        <v>72383</v>
      </c>
    </row>
    <row r="962" spans="1:7" x14ac:dyDescent="0.25">
      <c r="A962">
        <v>9176</v>
      </c>
      <c r="B962" t="s">
        <v>245</v>
      </c>
      <c r="C962" s="1">
        <v>43831</v>
      </c>
      <c r="D962" s="1">
        <v>44111</v>
      </c>
      <c r="E962">
        <v>132341</v>
      </c>
    </row>
    <row r="963" spans="1:7" x14ac:dyDescent="0.25">
      <c r="A963">
        <v>9176</v>
      </c>
      <c r="B963" t="s">
        <v>245</v>
      </c>
      <c r="C963" s="1">
        <v>44112</v>
      </c>
      <c r="D963" s="1">
        <v>44433</v>
      </c>
      <c r="E963">
        <v>132881</v>
      </c>
    </row>
    <row r="964" spans="1:7" x14ac:dyDescent="0.25">
      <c r="A964">
        <v>9176</v>
      </c>
      <c r="B964" t="s">
        <v>245</v>
      </c>
      <c r="C964" s="1">
        <v>44434</v>
      </c>
      <c r="D964" s="1">
        <v>44826</v>
      </c>
      <c r="E964">
        <v>133169</v>
      </c>
      <c r="F964">
        <v>67473</v>
      </c>
      <c r="G964">
        <v>65696</v>
      </c>
    </row>
    <row r="965" spans="1:7" x14ac:dyDescent="0.25">
      <c r="A965">
        <v>9176</v>
      </c>
      <c r="B965" t="s">
        <v>245</v>
      </c>
      <c r="C965" s="1">
        <v>44827</v>
      </c>
      <c r="D965" s="1">
        <v>117974</v>
      </c>
      <c r="E965">
        <v>133634</v>
      </c>
      <c r="F965">
        <v>67599</v>
      </c>
      <c r="G965">
        <v>66035</v>
      </c>
    </row>
    <row r="966" spans="1:7" x14ac:dyDescent="0.25">
      <c r="A966">
        <v>9177</v>
      </c>
      <c r="B966" t="s">
        <v>246</v>
      </c>
      <c r="C966" s="1">
        <v>43831</v>
      </c>
      <c r="D966" s="1">
        <v>44111</v>
      </c>
      <c r="E966">
        <v>137660</v>
      </c>
    </row>
    <row r="967" spans="1:7" x14ac:dyDescent="0.25">
      <c r="A967">
        <v>9177</v>
      </c>
      <c r="B967" t="s">
        <v>246</v>
      </c>
      <c r="C967" s="1">
        <v>44112</v>
      </c>
      <c r="D967" s="1">
        <v>44433</v>
      </c>
      <c r="E967">
        <v>138182</v>
      </c>
    </row>
    <row r="968" spans="1:7" x14ac:dyDescent="0.25">
      <c r="A968">
        <v>9177</v>
      </c>
      <c r="B968" t="s">
        <v>246</v>
      </c>
      <c r="C968" s="1">
        <v>44434</v>
      </c>
      <c r="D968" s="1">
        <v>44826</v>
      </c>
      <c r="E968">
        <v>138891</v>
      </c>
      <c r="F968">
        <v>69944</v>
      </c>
      <c r="G968">
        <v>68947</v>
      </c>
    </row>
    <row r="969" spans="1:7" x14ac:dyDescent="0.25">
      <c r="A969">
        <v>9177</v>
      </c>
      <c r="B969" t="s">
        <v>246</v>
      </c>
      <c r="C969" s="1">
        <v>44827</v>
      </c>
      <c r="D969" s="1">
        <v>117974</v>
      </c>
      <c r="E969">
        <v>139622</v>
      </c>
      <c r="F969">
        <v>70223</v>
      </c>
      <c r="G969">
        <v>69399</v>
      </c>
    </row>
    <row r="970" spans="1:7" x14ac:dyDescent="0.25">
      <c r="A970">
        <v>9178</v>
      </c>
      <c r="B970" t="s">
        <v>247</v>
      </c>
      <c r="C970" s="1">
        <v>43831</v>
      </c>
      <c r="D970" s="1">
        <v>44111</v>
      </c>
      <c r="E970">
        <v>179116</v>
      </c>
    </row>
    <row r="971" spans="1:7" x14ac:dyDescent="0.25">
      <c r="A971">
        <v>9178</v>
      </c>
      <c r="B971" t="s">
        <v>247</v>
      </c>
      <c r="C971" s="1">
        <v>44112</v>
      </c>
      <c r="D971" s="1">
        <v>44433</v>
      </c>
      <c r="E971">
        <v>180007</v>
      </c>
    </row>
    <row r="972" spans="1:7" x14ac:dyDescent="0.25">
      <c r="A972">
        <v>9178</v>
      </c>
      <c r="B972" t="s">
        <v>247</v>
      </c>
      <c r="C972" s="1">
        <v>44434</v>
      </c>
      <c r="D972" s="1">
        <v>44826</v>
      </c>
      <c r="E972">
        <v>180313</v>
      </c>
      <c r="F972">
        <v>92157</v>
      </c>
      <c r="G972">
        <v>88156</v>
      </c>
    </row>
    <row r="973" spans="1:7" x14ac:dyDescent="0.25">
      <c r="A973">
        <v>9178</v>
      </c>
      <c r="B973" t="s">
        <v>247</v>
      </c>
      <c r="C973" s="1">
        <v>44827</v>
      </c>
      <c r="D973" s="1">
        <v>117974</v>
      </c>
      <c r="E973">
        <v>181144</v>
      </c>
      <c r="F973">
        <v>92520</v>
      </c>
      <c r="G973">
        <v>88624</v>
      </c>
    </row>
    <row r="974" spans="1:7" x14ac:dyDescent="0.25">
      <c r="A974">
        <v>9179</v>
      </c>
      <c r="B974" t="s">
        <v>248</v>
      </c>
      <c r="C974" s="1">
        <v>43831</v>
      </c>
      <c r="D974" s="1">
        <v>44111</v>
      </c>
      <c r="E974">
        <v>219320</v>
      </c>
    </row>
    <row r="975" spans="1:7" x14ac:dyDescent="0.25">
      <c r="A975">
        <v>9179</v>
      </c>
      <c r="B975" t="s">
        <v>248</v>
      </c>
      <c r="C975" s="1">
        <v>44112</v>
      </c>
      <c r="D975" s="1">
        <v>44433</v>
      </c>
      <c r="E975">
        <v>219311</v>
      </c>
    </row>
    <row r="976" spans="1:7" x14ac:dyDescent="0.25">
      <c r="A976">
        <v>9179</v>
      </c>
      <c r="B976" t="s">
        <v>248</v>
      </c>
      <c r="C976" s="1">
        <v>44434</v>
      </c>
      <c r="D976" s="1">
        <v>44826</v>
      </c>
      <c r="E976">
        <v>218740</v>
      </c>
      <c r="F976">
        <v>107436</v>
      </c>
      <c r="G976">
        <v>111304</v>
      </c>
    </row>
    <row r="977" spans="1:7" x14ac:dyDescent="0.25">
      <c r="A977">
        <v>9179</v>
      </c>
      <c r="B977" t="s">
        <v>248</v>
      </c>
      <c r="C977" s="1">
        <v>44827</v>
      </c>
      <c r="D977" s="1">
        <v>117974</v>
      </c>
      <c r="E977">
        <v>218579</v>
      </c>
      <c r="F977">
        <v>107330</v>
      </c>
      <c r="G977">
        <v>111249</v>
      </c>
    </row>
    <row r="978" spans="1:7" x14ac:dyDescent="0.25">
      <c r="A978">
        <v>9180</v>
      </c>
      <c r="B978" t="s">
        <v>249</v>
      </c>
      <c r="C978" s="1">
        <v>43831</v>
      </c>
      <c r="D978" s="1">
        <v>44111</v>
      </c>
      <c r="E978">
        <v>88467</v>
      </c>
    </row>
    <row r="979" spans="1:7" x14ac:dyDescent="0.25">
      <c r="A979">
        <v>9180</v>
      </c>
      <c r="B979" t="s">
        <v>249</v>
      </c>
      <c r="C979" s="1">
        <v>44112</v>
      </c>
      <c r="D979" s="1">
        <v>44433</v>
      </c>
      <c r="E979">
        <v>88424</v>
      </c>
    </row>
    <row r="980" spans="1:7" x14ac:dyDescent="0.25">
      <c r="A980">
        <v>9180</v>
      </c>
      <c r="B980" t="s">
        <v>249</v>
      </c>
      <c r="C980" s="1">
        <v>44434</v>
      </c>
      <c r="D980" s="1">
        <v>44826</v>
      </c>
      <c r="E980">
        <v>88279</v>
      </c>
      <c r="F980">
        <v>42776</v>
      </c>
      <c r="G980">
        <v>45503</v>
      </c>
    </row>
    <row r="981" spans="1:7" x14ac:dyDescent="0.25">
      <c r="A981">
        <v>9180</v>
      </c>
      <c r="B981" t="s">
        <v>249</v>
      </c>
      <c r="C981" s="1">
        <v>44827</v>
      </c>
      <c r="D981" s="1">
        <v>117974</v>
      </c>
      <c r="E981">
        <v>88232</v>
      </c>
      <c r="F981">
        <v>42733</v>
      </c>
      <c r="G981">
        <v>45499</v>
      </c>
    </row>
    <row r="982" spans="1:7" x14ac:dyDescent="0.25">
      <c r="A982">
        <v>9181</v>
      </c>
      <c r="B982" t="s">
        <v>250</v>
      </c>
      <c r="C982" s="1">
        <v>43831</v>
      </c>
      <c r="D982" s="1">
        <v>44111</v>
      </c>
      <c r="E982">
        <v>120071</v>
      </c>
    </row>
    <row r="983" spans="1:7" x14ac:dyDescent="0.25">
      <c r="A983">
        <v>9181</v>
      </c>
      <c r="B983" t="s">
        <v>250</v>
      </c>
      <c r="C983" s="1">
        <v>44112</v>
      </c>
      <c r="D983" s="1">
        <v>44433</v>
      </c>
      <c r="E983">
        <v>120302</v>
      </c>
    </row>
    <row r="984" spans="1:7" x14ac:dyDescent="0.25">
      <c r="A984">
        <v>9181</v>
      </c>
      <c r="B984" t="s">
        <v>250</v>
      </c>
      <c r="C984" s="1">
        <v>44434</v>
      </c>
      <c r="D984" s="1">
        <v>44826</v>
      </c>
      <c r="E984">
        <v>121019</v>
      </c>
      <c r="F984">
        <v>60383</v>
      </c>
      <c r="G984">
        <v>60636</v>
      </c>
    </row>
    <row r="985" spans="1:7" x14ac:dyDescent="0.25">
      <c r="A985">
        <v>9181</v>
      </c>
      <c r="B985" t="s">
        <v>250</v>
      </c>
      <c r="C985" s="1">
        <v>44827</v>
      </c>
      <c r="D985" s="1">
        <v>117974</v>
      </c>
      <c r="E985">
        <v>121466</v>
      </c>
      <c r="F985">
        <v>60572</v>
      </c>
      <c r="G985">
        <v>60894</v>
      </c>
    </row>
    <row r="986" spans="1:7" x14ac:dyDescent="0.25">
      <c r="A986">
        <v>9182</v>
      </c>
      <c r="B986" t="s">
        <v>251</v>
      </c>
      <c r="C986" s="1">
        <v>43831</v>
      </c>
      <c r="D986" s="1">
        <v>44111</v>
      </c>
      <c r="E986">
        <v>99726</v>
      </c>
    </row>
    <row r="987" spans="1:7" x14ac:dyDescent="0.25">
      <c r="A987">
        <v>9182</v>
      </c>
      <c r="B987" t="s">
        <v>251</v>
      </c>
      <c r="C987" s="1">
        <v>44112</v>
      </c>
      <c r="D987" s="1">
        <v>44433</v>
      </c>
      <c r="E987">
        <v>100010</v>
      </c>
    </row>
    <row r="988" spans="1:7" x14ac:dyDescent="0.25">
      <c r="A988">
        <v>9182</v>
      </c>
      <c r="B988" t="s">
        <v>251</v>
      </c>
      <c r="C988" s="1">
        <v>44434</v>
      </c>
      <c r="D988" s="1">
        <v>44826</v>
      </c>
      <c r="E988">
        <v>100183</v>
      </c>
      <c r="F988">
        <v>48994</v>
      </c>
      <c r="G988">
        <v>51189</v>
      </c>
    </row>
    <row r="989" spans="1:7" x14ac:dyDescent="0.25">
      <c r="A989">
        <v>9182</v>
      </c>
      <c r="B989" t="s">
        <v>251</v>
      </c>
      <c r="C989" s="1">
        <v>44827</v>
      </c>
      <c r="D989" s="1">
        <v>117974</v>
      </c>
      <c r="E989">
        <v>99978</v>
      </c>
      <c r="F989">
        <v>48892</v>
      </c>
      <c r="G989">
        <v>51086</v>
      </c>
    </row>
    <row r="990" spans="1:7" x14ac:dyDescent="0.25">
      <c r="A990">
        <v>9183</v>
      </c>
      <c r="B990" t="s">
        <v>252</v>
      </c>
      <c r="C990" s="1">
        <v>43831</v>
      </c>
      <c r="D990" s="1">
        <v>44111</v>
      </c>
      <c r="E990">
        <v>115250</v>
      </c>
    </row>
    <row r="991" spans="1:7" x14ac:dyDescent="0.25">
      <c r="A991">
        <v>9183</v>
      </c>
      <c r="B991" t="s">
        <v>252</v>
      </c>
      <c r="C991" s="1">
        <v>44112</v>
      </c>
      <c r="D991" s="1">
        <v>44433</v>
      </c>
      <c r="E991">
        <v>115872</v>
      </c>
    </row>
    <row r="992" spans="1:7" x14ac:dyDescent="0.25">
      <c r="A992">
        <v>9183</v>
      </c>
      <c r="B992" t="s">
        <v>252</v>
      </c>
      <c r="C992" s="1">
        <v>44434</v>
      </c>
      <c r="D992" s="1">
        <v>44826</v>
      </c>
      <c r="E992">
        <v>116483</v>
      </c>
      <c r="F992">
        <v>58854</v>
      </c>
      <c r="G992">
        <v>57629</v>
      </c>
    </row>
    <row r="993" spans="1:7" x14ac:dyDescent="0.25">
      <c r="A993">
        <v>9183</v>
      </c>
      <c r="B993" t="s">
        <v>252</v>
      </c>
      <c r="C993" s="1">
        <v>44827</v>
      </c>
      <c r="D993" s="1">
        <v>117974</v>
      </c>
      <c r="E993">
        <v>117606</v>
      </c>
      <c r="F993">
        <v>59484</v>
      </c>
      <c r="G993">
        <v>58122</v>
      </c>
    </row>
    <row r="994" spans="1:7" x14ac:dyDescent="0.25">
      <c r="A994">
        <v>9184</v>
      </c>
      <c r="B994" t="s">
        <v>253</v>
      </c>
      <c r="C994" s="1">
        <v>43831</v>
      </c>
      <c r="D994" s="1">
        <v>44111</v>
      </c>
      <c r="E994">
        <v>348871</v>
      </c>
    </row>
    <row r="995" spans="1:7" x14ac:dyDescent="0.25">
      <c r="A995">
        <v>9184</v>
      </c>
      <c r="B995" t="s">
        <v>253</v>
      </c>
      <c r="C995" s="1">
        <v>44112</v>
      </c>
      <c r="D995" s="1">
        <v>44433</v>
      </c>
      <c r="E995">
        <v>350473</v>
      </c>
    </row>
    <row r="996" spans="1:7" x14ac:dyDescent="0.25">
      <c r="A996">
        <v>9184</v>
      </c>
      <c r="B996" t="s">
        <v>253</v>
      </c>
      <c r="C996" s="1">
        <v>44434</v>
      </c>
      <c r="D996" s="1">
        <v>44826</v>
      </c>
      <c r="E996">
        <v>349685</v>
      </c>
      <c r="F996">
        <v>173797</v>
      </c>
      <c r="G996">
        <v>175888</v>
      </c>
    </row>
    <row r="997" spans="1:7" x14ac:dyDescent="0.25">
      <c r="A997">
        <v>9184</v>
      </c>
      <c r="B997" t="s">
        <v>253</v>
      </c>
      <c r="C997" s="1">
        <v>44827</v>
      </c>
      <c r="D997" s="1">
        <v>117974</v>
      </c>
      <c r="E997">
        <v>349837</v>
      </c>
      <c r="F997">
        <v>173610</v>
      </c>
      <c r="G997">
        <v>176227</v>
      </c>
    </row>
    <row r="998" spans="1:7" x14ac:dyDescent="0.25">
      <c r="A998">
        <v>9185</v>
      </c>
      <c r="B998" t="s">
        <v>254</v>
      </c>
      <c r="C998" s="1">
        <v>43831</v>
      </c>
      <c r="D998" s="1">
        <v>44111</v>
      </c>
      <c r="E998">
        <v>96680</v>
      </c>
    </row>
    <row r="999" spans="1:7" x14ac:dyDescent="0.25">
      <c r="A999">
        <v>9185</v>
      </c>
      <c r="B999" t="s">
        <v>254</v>
      </c>
      <c r="C999" s="1">
        <v>44112</v>
      </c>
      <c r="D999" s="1">
        <v>44433</v>
      </c>
      <c r="E999">
        <v>97303</v>
      </c>
    </row>
    <row r="1000" spans="1:7" x14ac:dyDescent="0.25">
      <c r="A1000">
        <v>9185</v>
      </c>
      <c r="B1000" t="s">
        <v>254</v>
      </c>
      <c r="C1000" s="1">
        <v>44434</v>
      </c>
      <c r="D1000" s="1">
        <v>44826</v>
      </c>
      <c r="E1000">
        <v>97730</v>
      </c>
      <c r="F1000">
        <v>49112</v>
      </c>
      <c r="G1000">
        <v>48618</v>
      </c>
    </row>
    <row r="1001" spans="1:7" x14ac:dyDescent="0.25">
      <c r="A1001">
        <v>9185</v>
      </c>
      <c r="B1001" t="s">
        <v>254</v>
      </c>
      <c r="C1001" s="1">
        <v>44827</v>
      </c>
      <c r="D1001" s="1">
        <v>117974</v>
      </c>
      <c r="E1001">
        <v>98503</v>
      </c>
      <c r="F1001">
        <v>49541</v>
      </c>
      <c r="G1001">
        <v>48962</v>
      </c>
    </row>
    <row r="1002" spans="1:7" x14ac:dyDescent="0.25">
      <c r="A1002">
        <v>9186</v>
      </c>
      <c r="B1002" t="s">
        <v>255</v>
      </c>
      <c r="C1002" s="1">
        <v>43831</v>
      </c>
      <c r="D1002" s="1">
        <v>44111</v>
      </c>
      <c r="E1002">
        <v>127151</v>
      </c>
    </row>
    <row r="1003" spans="1:7" x14ac:dyDescent="0.25">
      <c r="A1003">
        <v>9186</v>
      </c>
      <c r="B1003" t="s">
        <v>255</v>
      </c>
      <c r="C1003" s="1">
        <v>44112</v>
      </c>
      <c r="D1003" s="1">
        <v>44433</v>
      </c>
      <c r="E1003">
        <v>128227</v>
      </c>
    </row>
    <row r="1004" spans="1:7" x14ac:dyDescent="0.25">
      <c r="A1004">
        <v>9186</v>
      </c>
      <c r="B1004" t="s">
        <v>255</v>
      </c>
      <c r="C1004" s="1">
        <v>44434</v>
      </c>
      <c r="D1004" s="1">
        <v>44826</v>
      </c>
      <c r="E1004">
        <v>129128</v>
      </c>
      <c r="F1004">
        <v>65488</v>
      </c>
      <c r="G1004">
        <v>63640</v>
      </c>
    </row>
    <row r="1005" spans="1:7" x14ac:dyDescent="0.25">
      <c r="A1005">
        <v>9186</v>
      </c>
      <c r="B1005" t="s">
        <v>255</v>
      </c>
      <c r="C1005" s="1">
        <v>44827</v>
      </c>
      <c r="D1005" s="1">
        <v>117974</v>
      </c>
      <c r="E1005">
        <v>129772</v>
      </c>
      <c r="F1005">
        <v>65711</v>
      </c>
      <c r="G1005">
        <v>64061</v>
      </c>
    </row>
    <row r="1006" spans="1:7" x14ac:dyDescent="0.25">
      <c r="A1006">
        <v>9187</v>
      </c>
      <c r="B1006" t="s">
        <v>256</v>
      </c>
      <c r="C1006" s="1">
        <v>43831</v>
      </c>
      <c r="D1006" s="1">
        <v>44111</v>
      </c>
      <c r="E1006">
        <v>260983</v>
      </c>
    </row>
    <row r="1007" spans="1:7" x14ac:dyDescent="0.25">
      <c r="A1007">
        <v>9187</v>
      </c>
      <c r="B1007" t="s">
        <v>256</v>
      </c>
      <c r="C1007" s="1">
        <v>44112</v>
      </c>
      <c r="D1007" s="1">
        <v>44433</v>
      </c>
      <c r="E1007">
        <v>261330</v>
      </c>
    </row>
    <row r="1008" spans="1:7" x14ac:dyDescent="0.25">
      <c r="A1008">
        <v>9187</v>
      </c>
      <c r="B1008" t="s">
        <v>256</v>
      </c>
      <c r="C1008" s="1">
        <v>44434</v>
      </c>
      <c r="D1008" s="1">
        <v>44826</v>
      </c>
      <c r="E1008">
        <v>261721</v>
      </c>
      <c r="F1008">
        <v>129514</v>
      </c>
      <c r="G1008">
        <v>132207</v>
      </c>
    </row>
    <row r="1009" spans="1:7" x14ac:dyDescent="0.25">
      <c r="A1009">
        <v>9187</v>
      </c>
      <c r="B1009" t="s">
        <v>256</v>
      </c>
      <c r="C1009" s="1">
        <v>44827</v>
      </c>
      <c r="D1009" s="1">
        <v>117974</v>
      </c>
      <c r="E1009">
        <v>263367</v>
      </c>
      <c r="F1009">
        <v>130304</v>
      </c>
      <c r="G1009">
        <v>133063</v>
      </c>
    </row>
    <row r="1010" spans="1:7" x14ac:dyDescent="0.25">
      <c r="A1010">
        <v>9188</v>
      </c>
      <c r="B1010" t="s">
        <v>257</v>
      </c>
      <c r="C1010" s="1">
        <v>43831</v>
      </c>
      <c r="D1010" s="1">
        <v>44111</v>
      </c>
      <c r="E1010">
        <v>136092</v>
      </c>
    </row>
    <row r="1011" spans="1:7" x14ac:dyDescent="0.25">
      <c r="A1011">
        <v>9188</v>
      </c>
      <c r="B1011" t="s">
        <v>257</v>
      </c>
      <c r="C1011" s="1">
        <v>44112</v>
      </c>
      <c r="D1011" s="1">
        <v>44433</v>
      </c>
      <c r="E1011">
        <v>136667</v>
      </c>
    </row>
    <row r="1012" spans="1:7" x14ac:dyDescent="0.25">
      <c r="A1012">
        <v>9188</v>
      </c>
      <c r="B1012" t="s">
        <v>257</v>
      </c>
      <c r="C1012" s="1">
        <v>44434</v>
      </c>
      <c r="D1012" s="1">
        <v>44826</v>
      </c>
      <c r="E1012">
        <v>136610</v>
      </c>
      <c r="F1012">
        <v>66157</v>
      </c>
      <c r="G1012">
        <v>70453</v>
      </c>
    </row>
    <row r="1013" spans="1:7" x14ac:dyDescent="0.25">
      <c r="A1013">
        <v>9188</v>
      </c>
      <c r="B1013" t="s">
        <v>257</v>
      </c>
      <c r="C1013" s="1">
        <v>44827</v>
      </c>
      <c r="D1013" s="1">
        <v>117974</v>
      </c>
      <c r="E1013">
        <v>136747</v>
      </c>
      <c r="F1013">
        <v>66184</v>
      </c>
      <c r="G1013">
        <v>70563</v>
      </c>
    </row>
    <row r="1014" spans="1:7" x14ac:dyDescent="0.25">
      <c r="A1014">
        <v>9189</v>
      </c>
      <c r="B1014" t="s">
        <v>258</v>
      </c>
      <c r="C1014" s="1">
        <v>43831</v>
      </c>
      <c r="D1014" s="1">
        <v>44111</v>
      </c>
      <c r="E1014">
        <v>177089</v>
      </c>
    </row>
    <row r="1015" spans="1:7" x14ac:dyDescent="0.25">
      <c r="A1015">
        <v>9189</v>
      </c>
      <c r="B1015" t="s">
        <v>258</v>
      </c>
      <c r="C1015" s="1">
        <v>44112</v>
      </c>
      <c r="D1015" s="1">
        <v>44433</v>
      </c>
      <c r="E1015">
        <v>177319</v>
      </c>
    </row>
    <row r="1016" spans="1:7" x14ac:dyDescent="0.25">
      <c r="A1016">
        <v>9189</v>
      </c>
      <c r="B1016" t="s">
        <v>258</v>
      </c>
      <c r="C1016" s="1">
        <v>44434</v>
      </c>
      <c r="D1016" s="1">
        <v>44826</v>
      </c>
      <c r="E1016">
        <v>177485</v>
      </c>
      <c r="F1016">
        <v>87601</v>
      </c>
      <c r="G1016">
        <v>89884</v>
      </c>
    </row>
    <row r="1017" spans="1:7" x14ac:dyDescent="0.25">
      <c r="A1017">
        <v>9189</v>
      </c>
      <c r="B1017" t="s">
        <v>258</v>
      </c>
      <c r="C1017" s="1">
        <v>44827</v>
      </c>
      <c r="D1017" s="1">
        <v>117974</v>
      </c>
      <c r="E1017">
        <v>178447</v>
      </c>
      <c r="F1017">
        <v>88061</v>
      </c>
      <c r="G1017">
        <v>90386</v>
      </c>
    </row>
    <row r="1018" spans="1:7" x14ac:dyDescent="0.25">
      <c r="A1018">
        <v>9190</v>
      </c>
      <c r="B1018" t="s">
        <v>259</v>
      </c>
      <c r="C1018" s="1">
        <v>43831</v>
      </c>
      <c r="D1018" s="1">
        <v>44111</v>
      </c>
      <c r="E1018">
        <v>135348</v>
      </c>
    </row>
    <row r="1019" spans="1:7" x14ac:dyDescent="0.25">
      <c r="A1019">
        <v>9190</v>
      </c>
      <c r="B1019" t="s">
        <v>259</v>
      </c>
      <c r="C1019" s="1">
        <v>44112</v>
      </c>
      <c r="D1019" s="1">
        <v>44433</v>
      </c>
      <c r="E1019">
        <v>135478</v>
      </c>
    </row>
    <row r="1020" spans="1:7" x14ac:dyDescent="0.25">
      <c r="A1020">
        <v>9190</v>
      </c>
      <c r="B1020" t="s">
        <v>259</v>
      </c>
      <c r="C1020" s="1">
        <v>44434</v>
      </c>
      <c r="D1020" s="1">
        <v>44826</v>
      </c>
      <c r="E1020">
        <v>136134</v>
      </c>
      <c r="F1020">
        <v>67518</v>
      </c>
      <c r="G1020">
        <v>68616</v>
      </c>
    </row>
    <row r="1021" spans="1:7" x14ac:dyDescent="0.25">
      <c r="A1021">
        <v>9190</v>
      </c>
      <c r="B1021" t="s">
        <v>259</v>
      </c>
      <c r="C1021" s="1">
        <v>44827</v>
      </c>
      <c r="D1021" s="1">
        <v>117974</v>
      </c>
      <c r="E1021">
        <v>136642</v>
      </c>
      <c r="F1021">
        <v>67701</v>
      </c>
      <c r="G1021">
        <v>68941</v>
      </c>
    </row>
    <row r="1022" spans="1:7" x14ac:dyDescent="0.25">
      <c r="A1022">
        <v>9261</v>
      </c>
      <c r="B1022" t="s">
        <v>260</v>
      </c>
      <c r="C1022" s="1">
        <v>43831</v>
      </c>
      <c r="D1022" s="1">
        <v>44111</v>
      </c>
      <c r="E1022">
        <v>72404</v>
      </c>
    </row>
    <row r="1023" spans="1:7" x14ac:dyDescent="0.25">
      <c r="A1023">
        <v>9261</v>
      </c>
      <c r="B1023" t="s">
        <v>260</v>
      </c>
      <c r="C1023" s="1">
        <v>44112</v>
      </c>
      <c r="D1023" s="1">
        <v>44433</v>
      </c>
      <c r="E1023">
        <v>73411</v>
      </c>
    </row>
    <row r="1024" spans="1:7" x14ac:dyDescent="0.25">
      <c r="A1024">
        <v>9261</v>
      </c>
      <c r="B1024" t="s">
        <v>260</v>
      </c>
      <c r="C1024" s="1">
        <v>44434</v>
      </c>
      <c r="D1024" s="1">
        <v>44826</v>
      </c>
      <c r="E1024">
        <v>73065</v>
      </c>
      <c r="F1024">
        <v>35671</v>
      </c>
      <c r="G1024">
        <v>37394</v>
      </c>
    </row>
    <row r="1025" spans="1:7" x14ac:dyDescent="0.25">
      <c r="A1025">
        <v>9261</v>
      </c>
      <c r="B1025" t="s">
        <v>260</v>
      </c>
      <c r="C1025" s="1">
        <v>44827</v>
      </c>
      <c r="D1025" s="1">
        <v>117974</v>
      </c>
      <c r="E1025">
        <v>73150</v>
      </c>
      <c r="F1025">
        <v>35715</v>
      </c>
      <c r="G1025">
        <v>37435</v>
      </c>
    </row>
    <row r="1026" spans="1:7" x14ac:dyDescent="0.25">
      <c r="A1026">
        <v>9262</v>
      </c>
      <c r="B1026" t="s">
        <v>261</v>
      </c>
      <c r="C1026" s="1">
        <v>43831</v>
      </c>
      <c r="D1026" s="1">
        <v>44111</v>
      </c>
      <c r="E1026">
        <v>52469</v>
      </c>
    </row>
    <row r="1027" spans="1:7" x14ac:dyDescent="0.25">
      <c r="A1027">
        <v>9262</v>
      </c>
      <c r="B1027" t="s">
        <v>261</v>
      </c>
      <c r="C1027" s="1">
        <v>44112</v>
      </c>
      <c r="D1027" s="1">
        <v>44433</v>
      </c>
      <c r="E1027">
        <v>52803</v>
      </c>
    </row>
    <row r="1028" spans="1:7" x14ac:dyDescent="0.25">
      <c r="A1028">
        <v>9262</v>
      </c>
      <c r="B1028" t="s">
        <v>261</v>
      </c>
      <c r="C1028" s="1">
        <v>44434</v>
      </c>
      <c r="D1028" s="1">
        <v>44826</v>
      </c>
      <c r="E1028">
        <v>52415</v>
      </c>
      <c r="F1028">
        <v>25486</v>
      </c>
      <c r="G1028">
        <v>26929</v>
      </c>
    </row>
    <row r="1029" spans="1:7" x14ac:dyDescent="0.25">
      <c r="A1029">
        <v>9262</v>
      </c>
      <c r="B1029" t="s">
        <v>261</v>
      </c>
      <c r="C1029" s="1">
        <v>44827</v>
      </c>
      <c r="D1029" s="1">
        <v>117974</v>
      </c>
      <c r="E1029">
        <v>53093</v>
      </c>
      <c r="F1029">
        <v>25869</v>
      </c>
      <c r="G1029">
        <v>27224</v>
      </c>
    </row>
    <row r="1030" spans="1:7" x14ac:dyDescent="0.25">
      <c r="A1030">
        <v>9263</v>
      </c>
      <c r="B1030" t="s">
        <v>262</v>
      </c>
      <c r="C1030" s="1">
        <v>43831</v>
      </c>
      <c r="D1030" s="1">
        <v>44111</v>
      </c>
      <c r="E1030">
        <v>47794</v>
      </c>
    </row>
    <row r="1031" spans="1:7" x14ac:dyDescent="0.25">
      <c r="A1031">
        <v>9263</v>
      </c>
      <c r="B1031" t="s">
        <v>262</v>
      </c>
      <c r="C1031" s="1">
        <v>44112</v>
      </c>
      <c r="D1031" s="1">
        <v>44433</v>
      </c>
      <c r="E1031">
        <v>47791</v>
      </c>
    </row>
    <row r="1032" spans="1:7" x14ac:dyDescent="0.25">
      <c r="A1032">
        <v>9263</v>
      </c>
      <c r="B1032" t="s">
        <v>262</v>
      </c>
      <c r="C1032" s="1">
        <v>44434</v>
      </c>
      <c r="D1032" s="1">
        <v>44826</v>
      </c>
      <c r="E1032">
        <v>47612</v>
      </c>
      <c r="F1032">
        <v>23960</v>
      </c>
      <c r="G1032">
        <v>23652</v>
      </c>
    </row>
    <row r="1033" spans="1:7" x14ac:dyDescent="0.25">
      <c r="A1033">
        <v>9263</v>
      </c>
      <c r="B1033" t="s">
        <v>262</v>
      </c>
      <c r="C1033" s="1">
        <v>44827</v>
      </c>
      <c r="D1033" s="1">
        <v>117974</v>
      </c>
      <c r="E1033">
        <v>47854</v>
      </c>
      <c r="F1033">
        <v>24084</v>
      </c>
      <c r="G1033">
        <v>23770</v>
      </c>
    </row>
    <row r="1034" spans="1:7" x14ac:dyDescent="0.25">
      <c r="A1034">
        <v>9271</v>
      </c>
      <c r="B1034" t="s">
        <v>263</v>
      </c>
      <c r="C1034" s="1">
        <v>43831</v>
      </c>
      <c r="D1034" s="1">
        <v>44111</v>
      </c>
      <c r="E1034">
        <v>119326</v>
      </c>
    </row>
    <row r="1035" spans="1:7" x14ac:dyDescent="0.25">
      <c r="A1035">
        <v>9271</v>
      </c>
      <c r="B1035" t="s">
        <v>263</v>
      </c>
      <c r="C1035" s="1">
        <v>44112</v>
      </c>
      <c r="D1035" s="1">
        <v>44433</v>
      </c>
      <c r="E1035">
        <v>119478</v>
      </c>
    </row>
    <row r="1036" spans="1:7" x14ac:dyDescent="0.25">
      <c r="A1036">
        <v>9271</v>
      </c>
      <c r="B1036" t="s">
        <v>263</v>
      </c>
      <c r="C1036" s="1">
        <v>44434</v>
      </c>
      <c r="D1036" s="1">
        <v>44826</v>
      </c>
      <c r="E1036">
        <v>119479</v>
      </c>
      <c r="F1036">
        <v>59782</v>
      </c>
      <c r="G1036">
        <v>59697</v>
      </c>
    </row>
    <row r="1037" spans="1:7" x14ac:dyDescent="0.25">
      <c r="A1037">
        <v>9271</v>
      </c>
      <c r="B1037" t="s">
        <v>263</v>
      </c>
      <c r="C1037" s="1">
        <v>44827</v>
      </c>
      <c r="D1037" s="1">
        <v>117974</v>
      </c>
      <c r="E1037">
        <v>120521</v>
      </c>
      <c r="F1037">
        <v>60544</v>
      </c>
      <c r="G1037">
        <v>59977</v>
      </c>
    </row>
    <row r="1038" spans="1:7" x14ac:dyDescent="0.25">
      <c r="A1038">
        <v>9272</v>
      </c>
      <c r="B1038" t="s">
        <v>264</v>
      </c>
      <c r="C1038" s="1">
        <v>43831</v>
      </c>
      <c r="D1038" s="1">
        <v>44111</v>
      </c>
      <c r="E1038">
        <v>78355</v>
      </c>
    </row>
    <row r="1039" spans="1:7" x14ac:dyDescent="0.25">
      <c r="A1039">
        <v>9272</v>
      </c>
      <c r="B1039" t="s">
        <v>264</v>
      </c>
      <c r="C1039" s="1">
        <v>44112</v>
      </c>
      <c r="D1039" s="1">
        <v>44433</v>
      </c>
      <c r="E1039">
        <v>78362</v>
      </c>
    </row>
    <row r="1040" spans="1:7" x14ac:dyDescent="0.25">
      <c r="A1040">
        <v>9272</v>
      </c>
      <c r="B1040" t="s">
        <v>264</v>
      </c>
      <c r="C1040" s="1">
        <v>44434</v>
      </c>
      <c r="D1040" s="1">
        <v>44826</v>
      </c>
      <c r="E1040">
        <v>78355</v>
      </c>
      <c r="F1040">
        <v>39075</v>
      </c>
      <c r="G1040">
        <v>39280</v>
      </c>
    </row>
    <row r="1041" spans="1:7" x14ac:dyDescent="0.25">
      <c r="A1041">
        <v>9272</v>
      </c>
      <c r="B1041" t="s">
        <v>264</v>
      </c>
      <c r="C1041" s="1">
        <v>44827</v>
      </c>
      <c r="D1041" s="1">
        <v>117974</v>
      </c>
      <c r="E1041">
        <v>78632</v>
      </c>
      <c r="F1041">
        <v>39190</v>
      </c>
      <c r="G1041">
        <v>39442</v>
      </c>
    </row>
    <row r="1042" spans="1:7" x14ac:dyDescent="0.25">
      <c r="A1042">
        <v>9273</v>
      </c>
      <c r="B1042" t="s">
        <v>265</v>
      </c>
      <c r="C1042" s="1">
        <v>43831</v>
      </c>
      <c r="D1042" s="1">
        <v>44111</v>
      </c>
      <c r="E1042">
        <v>122258</v>
      </c>
    </row>
    <row r="1043" spans="1:7" x14ac:dyDescent="0.25">
      <c r="A1043">
        <v>9273</v>
      </c>
      <c r="B1043" t="s">
        <v>265</v>
      </c>
      <c r="C1043" s="1">
        <v>44112</v>
      </c>
      <c r="D1043" s="1">
        <v>44433</v>
      </c>
      <c r="E1043">
        <v>123058</v>
      </c>
    </row>
    <row r="1044" spans="1:7" x14ac:dyDescent="0.25">
      <c r="A1044">
        <v>9273</v>
      </c>
      <c r="B1044" t="s">
        <v>265</v>
      </c>
      <c r="C1044" s="1">
        <v>44434</v>
      </c>
      <c r="D1044" s="1">
        <v>44826</v>
      </c>
      <c r="E1044">
        <v>123390</v>
      </c>
      <c r="F1044">
        <v>62439</v>
      </c>
      <c r="G1044">
        <v>60951</v>
      </c>
    </row>
    <row r="1045" spans="1:7" x14ac:dyDescent="0.25">
      <c r="A1045">
        <v>9273</v>
      </c>
      <c r="B1045" t="s">
        <v>265</v>
      </c>
      <c r="C1045" s="1">
        <v>44827</v>
      </c>
      <c r="D1045" s="1">
        <v>117974</v>
      </c>
      <c r="E1045">
        <v>123899</v>
      </c>
      <c r="F1045">
        <v>62610</v>
      </c>
      <c r="G1045">
        <v>61289</v>
      </c>
    </row>
    <row r="1046" spans="1:7" x14ac:dyDescent="0.25">
      <c r="A1046">
        <v>9274</v>
      </c>
      <c r="B1046" t="s">
        <v>266</v>
      </c>
      <c r="C1046" s="1">
        <v>43831</v>
      </c>
      <c r="D1046" s="1">
        <v>44111</v>
      </c>
      <c r="E1046">
        <v>158698</v>
      </c>
    </row>
    <row r="1047" spans="1:7" x14ac:dyDescent="0.25">
      <c r="A1047">
        <v>9274</v>
      </c>
      <c r="B1047" t="s">
        <v>266</v>
      </c>
      <c r="C1047" s="1">
        <v>44112</v>
      </c>
      <c r="D1047" s="1">
        <v>44433</v>
      </c>
      <c r="E1047">
        <v>159895</v>
      </c>
    </row>
    <row r="1048" spans="1:7" x14ac:dyDescent="0.25">
      <c r="A1048">
        <v>9274</v>
      </c>
      <c r="B1048" t="s">
        <v>266</v>
      </c>
      <c r="C1048" s="1">
        <v>44434</v>
      </c>
      <c r="D1048" s="1">
        <v>44826</v>
      </c>
      <c r="E1048">
        <v>161191</v>
      </c>
      <c r="F1048">
        <v>81519</v>
      </c>
      <c r="G1048">
        <v>79672</v>
      </c>
    </row>
    <row r="1049" spans="1:7" x14ac:dyDescent="0.25">
      <c r="A1049">
        <v>9274</v>
      </c>
      <c r="B1049" t="s">
        <v>266</v>
      </c>
      <c r="C1049" s="1">
        <v>44827</v>
      </c>
      <c r="D1049" s="1">
        <v>117974</v>
      </c>
      <c r="E1049">
        <v>162331</v>
      </c>
      <c r="F1049">
        <v>81932</v>
      </c>
      <c r="G1049">
        <v>80399</v>
      </c>
    </row>
    <row r="1050" spans="1:7" x14ac:dyDescent="0.25">
      <c r="A1050">
        <v>9275</v>
      </c>
      <c r="B1050" t="s">
        <v>267</v>
      </c>
      <c r="C1050" s="1">
        <v>43831</v>
      </c>
      <c r="D1050" s="1">
        <v>44111</v>
      </c>
      <c r="E1050">
        <v>192043</v>
      </c>
    </row>
    <row r="1051" spans="1:7" x14ac:dyDescent="0.25">
      <c r="A1051">
        <v>9275</v>
      </c>
      <c r="B1051" t="s">
        <v>267</v>
      </c>
      <c r="C1051" s="1">
        <v>44112</v>
      </c>
      <c r="D1051" s="1">
        <v>44433</v>
      </c>
      <c r="E1051">
        <v>192656</v>
      </c>
    </row>
    <row r="1052" spans="1:7" x14ac:dyDescent="0.25">
      <c r="A1052">
        <v>9275</v>
      </c>
      <c r="B1052" t="s">
        <v>267</v>
      </c>
      <c r="C1052" s="1">
        <v>44434</v>
      </c>
      <c r="D1052" s="1">
        <v>44826</v>
      </c>
      <c r="E1052">
        <v>193454</v>
      </c>
      <c r="F1052">
        <v>96000</v>
      </c>
      <c r="G1052">
        <v>97454</v>
      </c>
    </row>
    <row r="1053" spans="1:7" x14ac:dyDescent="0.25">
      <c r="A1053">
        <v>9275</v>
      </c>
      <c r="B1053" t="s">
        <v>267</v>
      </c>
      <c r="C1053" s="1">
        <v>44827</v>
      </c>
      <c r="D1053" s="1">
        <v>117974</v>
      </c>
      <c r="E1053">
        <v>194090</v>
      </c>
      <c r="F1053">
        <v>96442</v>
      </c>
      <c r="G1053">
        <v>97648</v>
      </c>
    </row>
    <row r="1054" spans="1:7" x14ac:dyDescent="0.25">
      <c r="A1054">
        <v>9276</v>
      </c>
      <c r="B1054" t="s">
        <v>268</v>
      </c>
      <c r="C1054" s="1">
        <v>43831</v>
      </c>
      <c r="D1054" s="1">
        <v>44111</v>
      </c>
      <c r="E1054">
        <v>77656</v>
      </c>
    </row>
    <row r="1055" spans="1:7" x14ac:dyDescent="0.25">
      <c r="A1055">
        <v>9276</v>
      </c>
      <c r="B1055" t="s">
        <v>268</v>
      </c>
      <c r="C1055" s="1">
        <v>44112</v>
      </c>
      <c r="D1055" s="1">
        <v>44433</v>
      </c>
      <c r="E1055">
        <v>77410</v>
      </c>
    </row>
    <row r="1056" spans="1:7" x14ac:dyDescent="0.25">
      <c r="A1056">
        <v>9276</v>
      </c>
      <c r="B1056" t="s">
        <v>268</v>
      </c>
      <c r="C1056" s="1">
        <v>44434</v>
      </c>
      <c r="D1056" s="1">
        <v>44826</v>
      </c>
      <c r="E1056">
        <v>77313</v>
      </c>
      <c r="F1056">
        <v>38543</v>
      </c>
      <c r="G1056">
        <v>38770</v>
      </c>
    </row>
    <row r="1057" spans="1:7" x14ac:dyDescent="0.25">
      <c r="A1057">
        <v>9276</v>
      </c>
      <c r="B1057" t="s">
        <v>268</v>
      </c>
      <c r="C1057" s="1">
        <v>44827</v>
      </c>
      <c r="D1057" s="1">
        <v>117974</v>
      </c>
      <c r="E1057">
        <v>77176</v>
      </c>
      <c r="F1057">
        <v>38539</v>
      </c>
      <c r="G1057">
        <v>38637</v>
      </c>
    </row>
    <row r="1058" spans="1:7" x14ac:dyDescent="0.25">
      <c r="A1058">
        <v>9277</v>
      </c>
      <c r="B1058" t="s">
        <v>269</v>
      </c>
      <c r="C1058" s="1">
        <v>43831</v>
      </c>
      <c r="D1058" s="1">
        <v>44111</v>
      </c>
      <c r="E1058">
        <v>120659</v>
      </c>
    </row>
    <row r="1059" spans="1:7" x14ac:dyDescent="0.25">
      <c r="A1059">
        <v>9277</v>
      </c>
      <c r="B1059" t="s">
        <v>269</v>
      </c>
      <c r="C1059" s="1">
        <v>44112</v>
      </c>
      <c r="D1059" s="1">
        <v>44433</v>
      </c>
      <c r="E1059">
        <v>121502</v>
      </c>
    </row>
    <row r="1060" spans="1:7" x14ac:dyDescent="0.25">
      <c r="A1060">
        <v>9277</v>
      </c>
      <c r="B1060" t="s">
        <v>269</v>
      </c>
      <c r="C1060" s="1">
        <v>44434</v>
      </c>
      <c r="D1060" s="1">
        <v>44826</v>
      </c>
      <c r="E1060">
        <v>121800</v>
      </c>
      <c r="F1060">
        <v>61011</v>
      </c>
      <c r="G1060">
        <v>60789</v>
      </c>
    </row>
    <row r="1061" spans="1:7" x14ac:dyDescent="0.25">
      <c r="A1061">
        <v>9277</v>
      </c>
      <c r="B1061" t="s">
        <v>269</v>
      </c>
      <c r="C1061" s="1">
        <v>44827</v>
      </c>
      <c r="D1061" s="1">
        <v>117974</v>
      </c>
      <c r="E1061">
        <v>122252</v>
      </c>
      <c r="F1061">
        <v>61352</v>
      </c>
      <c r="G1061">
        <v>60900</v>
      </c>
    </row>
    <row r="1062" spans="1:7" x14ac:dyDescent="0.25">
      <c r="A1062">
        <v>9278</v>
      </c>
      <c r="B1062" t="s">
        <v>270</v>
      </c>
      <c r="C1062" s="1">
        <v>43831</v>
      </c>
      <c r="D1062" s="1">
        <v>44111</v>
      </c>
      <c r="E1062">
        <v>100649</v>
      </c>
    </row>
    <row r="1063" spans="1:7" x14ac:dyDescent="0.25">
      <c r="A1063">
        <v>9278</v>
      </c>
      <c r="B1063" t="s">
        <v>270</v>
      </c>
      <c r="C1063" s="1">
        <v>44112</v>
      </c>
      <c r="D1063" s="1">
        <v>44433</v>
      </c>
      <c r="E1063">
        <v>101120</v>
      </c>
    </row>
    <row r="1064" spans="1:7" x14ac:dyDescent="0.25">
      <c r="A1064">
        <v>9278</v>
      </c>
      <c r="B1064" t="s">
        <v>270</v>
      </c>
      <c r="C1064" s="1">
        <v>44434</v>
      </c>
      <c r="D1064" s="1">
        <v>44826</v>
      </c>
      <c r="E1064">
        <v>101745</v>
      </c>
      <c r="F1064">
        <v>51034</v>
      </c>
      <c r="G1064">
        <v>50711</v>
      </c>
    </row>
    <row r="1065" spans="1:7" x14ac:dyDescent="0.25">
      <c r="A1065">
        <v>9278</v>
      </c>
      <c r="B1065" t="s">
        <v>270</v>
      </c>
      <c r="C1065" s="1">
        <v>44827</v>
      </c>
      <c r="D1065" s="1">
        <v>117974</v>
      </c>
      <c r="E1065">
        <v>102398</v>
      </c>
      <c r="F1065">
        <v>51417</v>
      </c>
      <c r="G1065">
        <v>50981</v>
      </c>
    </row>
    <row r="1066" spans="1:7" x14ac:dyDescent="0.25">
      <c r="A1066">
        <v>9279</v>
      </c>
      <c r="B1066" t="s">
        <v>271</v>
      </c>
      <c r="C1066" s="1">
        <v>43831</v>
      </c>
      <c r="D1066" s="1">
        <v>44111</v>
      </c>
      <c r="E1066">
        <v>96217</v>
      </c>
    </row>
    <row r="1067" spans="1:7" x14ac:dyDescent="0.25">
      <c r="A1067">
        <v>9279</v>
      </c>
      <c r="B1067" t="s">
        <v>271</v>
      </c>
      <c r="C1067" s="1">
        <v>44112</v>
      </c>
      <c r="D1067" s="1">
        <v>44433</v>
      </c>
      <c r="E1067">
        <v>96683</v>
      </c>
    </row>
    <row r="1068" spans="1:7" x14ac:dyDescent="0.25">
      <c r="A1068">
        <v>9279</v>
      </c>
      <c r="B1068" t="s">
        <v>271</v>
      </c>
      <c r="C1068" s="1">
        <v>44434</v>
      </c>
      <c r="D1068" s="1">
        <v>44826</v>
      </c>
      <c r="E1068">
        <v>97244</v>
      </c>
      <c r="F1068">
        <v>49742</v>
      </c>
      <c r="G1068">
        <v>47502</v>
      </c>
    </row>
    <row r="1069" spans="1:7" x14ac:dyDescent="0.25">
      <c r="A1069">
        <v>9279</v>
      </c>
      <c r="B1069" t="s">
        <v>271</v>
      </c>
      <c r="C1069" s="1">
        <v>44827</v>
      </c>
      <c r="D1069" s="1">
        <v>117974</v>
      </c>
      <c r="E1069">
        <v>98045</v>
      </c>
      <c r="F1069">
        <v>50219</v>
      </c>
      <c r="G1069">
        <v>47826</v>
      </c>
    </row>
    <row r="1070" spans="1:7" x14ac:dyDescent="0.25">
      <c r="A1070">
        <v>9361</v>
      </c>
      <c r="B1070" t="s">
        <v>272</v>
      </c>
      <c r="C1070" s="1">
        <v>43831</v>
      </c>
      <c r="D1070" s="1">
        <v>44111</v>
      </c>
      <c r="E1070">
        <v>41970</v>
      </c>
    </row>
    <row r="1071" spans="1:7" x14ac:dyDescent="0.25">
      <c r="A1071">
        <v>9361</v>
      </c>
      <c r="B1071" t="s">
        <v>272</v>
      </c>
      <c r="C1071" s="1">
        <v>44112</v>
      </c>
      <c r="D1071" s="1">
        <v>44433</v>
      </c>
      <c r="E1071">
        <v>42207</v>
      </c>
    </row>
    <row r="1072" spans="1:7" x14ac:dyDescent="0.25">
      <c r="A1072">
        <v>9361</v>
      </c>
      <c r="B1072" t="s">
        <v>272</v>
      </c>
      <c r="C1072" s="1">
        <v>44434</v>
      </c>
      <c r="D1072" s="1">
        <v>44826</v>
      </c>
      <c r="E1072">
        <v>42052</v>
      </c>
      <c r="F1072">
        <v>20757</v>
      </c>
      <c r="G1072">
        <v>21295</v>
      </c>
    </row>
    <row r="1073" spans="1:7" x14ac:dyDescent="0.25">
      <c r="A1073">
        <v>9361</v>
      </c>
      <c r="B1073" t="s">
        <v>272</v>
      </c>
      <c r="C1073" s="1">
        <v>44827</v>
      </c>
      <c r="D1073" s="1">
        <v>117974</v>
      </c>
      <c r="E1073">
        <v>41994</v>
      </c>
      <c r="F1073">
        <v>20725</v>
      </c>
      <c r="G1073">
        <v>21269</v>
      </c>
    </row>
    <row r="1074" spans="1:7" x14ac:dyDescent="0.25">
      <c r="A1074">
        <v>9362</v>
      </c>
      <c r="B1074" t="s">
        <v>273</v>
      </c>
      <c r="C1074" s="1">
        <v>43831</v>
      </c>
      <c r="D1074" s="1">
        <v>44111</v>
      </c>
      <c r="E1074">
        <v>152610</v>
      </c>
    </row>
    <row r="1075" spans="1:7" x14ac:dyDescent="0.25">
      <c r="A1075">
        <v>9362</v>
      </c>
      <c r="B1075" t="s">
        <v>273</v>
      </c>
      <c r="C1075" s="1">
        <v>44112</v>
      </c>
      <c r="D1075" s="1">
        <v>44433</v>
      </c>
      <c r="E1075">
        <v>153094</v>
      </c>
    </row>
    <row r="1076" spans="1:7" x14ac:dyDescent="0.25">
      <c r="A1076">
        <v>9362</v>
      </c>
      <c r="B1076" t="s">
        <v>273</v>
      </c>
      <c r="C1076" s="1">
        <v>44434</v>
      </c>
      <c r="D1076" s="1">
        <v>44826</v>
      </c>
      <c r="E1076">
        <v>152270</v>
      </c>
      <c r="F1076">
        <v>74011</v>
      </c>
      <c r="G1076">
        <v>78259</v>
      </c>
    </row>
    <row r="1077" spans="1:7" x14ac:dyDescent="0.25">
      <c r="A1077">
        <v>9362</v>
      </c>
      <c r="B1077" t="s">
        <v>273</v>
      </c>
      <c r="C1077" s="1">
        <v>44827</v>
      </c>
      <c r="D1077" s="1">
        <v>117974</v>
      </c>
      <c r="E1077">
        <v>153542</v>
      </c>
      <c r="F1077">
        <v>74784</v>
      </c>
      <c r="G1077">
        <v>78758</v>
      </c>
    </row>
    <row r="1078" spans="1:7" x14ac:dyDescent="0.25">
      <c r="A1078">
        <v>9363</v>
      </c>
      <c r="B1078" t="s">
        <v>274</v>
      </c>
      <c r="C1078" s="1">
        <v>43831</v>
      </c>
      <c r="D1078" s="1">
        <v>44111</v>
      </c>
      <c r="E1078">
        <v>42520</v>
      </c>
    </row>
    <row r="1079" spans="1:7" x14ac:dyDescent="0.25">
      <c r="A1079">
        <v>9363</v>
      </c>
      <c r="B1079" t="s">
        <v>274</v>
      </c>
      <c r="C1079" s="1">
        <v>44112</v>
      </c>
      <c r="D1079" s="1">
        <v>44433</v>
      </c>
      <c r="E1079">
        <v>42743</v>
      </c>
    </row>
    <row r="1080" spans="1:7" x14ac:dyDescent="0.25">
      <c r="A1080">
        <v>9363</v>
      </c>
      <c r="B1080" t="s">
        <v>274</v>
      </c>
      <c r="C1080" s="1">
        <v>44434</v>
      </c>
      <c r="D1080" s="1">
        <v>44826</v>
      </c>
      <c r="E1080">
        <v>42535</v>
      </c>
      <c r="F1080">
        <v>20584</v>
      </c>
      <c r="G1080">
        <v>21951</v>
      </c>
    </row>
    <row r="1081" spans="1:7" x14ac:dyDescent="0.25">
      <c r="A1081">
        <v>9363</v>
      </c>
      <c r="B1081" t="s">
        <v>274</v>
      </c>
      <c r="C1081" s="1">
        <v>44827</v>
      </c>
      <c r="D1081" s="1">
        <v>117974</v>
      </c>
      <c r="E1081">
        <v>42472</v>
      </c>
      <c r="F1081">
        <v>20556</v>
      </c>
      <c r="G1081">
        <v>21916</v>
      </c>
    </row>
    <row r="1082" spans="1:7" x14ac:dyDescent="0.25">
      <c r="A1082">
        <v>9371</v>
      </c>
      <c r="B1082" t="s">
        <v>275</v>
      </c>
      <c r="C1082" s="1">
        <v>43831</v>
      </c>
      <c r="D1082" s="1">
        <v>44111</v>
      </c>
      <c r="E1082">
        <v>103109</v>
      </c>
    </row>
    <row r="1083" spans="1:7" x14ac:dyDescent="0.25">
      <c r="A1083">
        <v>9371</v>
      </c>
      <c r="B1083" t="s">
        <v>275</v>
      </c>
      <c r="C1083" s="1">
        <v>44112</v>
      </c>
      <c r="D1083" s="1">
        <v>44433</v>
      </c>
      <c r="E1083">
        <v>103049</v>
      </c>
    </row>
    <row r="1084" spans="1:7" x14ac:dyDescent="0.25">
      <c r="A1084">
        <v>9371</v>
      </c>
      <c r="B1084" t="s">
        <v>275</v>
      </c>
      <c r="C1084" s="1">
        <v>44434</v>
      </c>
      <c r="D1084" s="1">
        <v>44826</v>
      </c>
      <c r="E1084">
        <v>102998</v>
      </c>
      <c r="F1084">
        <v>51640</v>
      </c>
      <c r="G1084">
        <v>51358</v>
      </c>
    </row>
    <row r="1085" spans="1:7" x14ac:dyDescent="0.25">
      <c r="A1085">
        <v>9371</v>
      </c>
      <c r="B1085" t="s">
        <v>275</v>
      </c>
      <c r="C1085" s="1">
        <v>44827</v>
      </c>
      <c r="D1085" s="1">
        <v>117974</v>
      </c>
      <c r="E1085">
        <v>103277</v>
      </c>
      <c r="F1085">
        <v>51795</v>
      </c>
      <c r="G1085">
        <v>51482</v>
      </c>
    </row>
    <row r="1086" spans="1:7" x14ac:dyDescent="0.25">
      <c r="A1086">
        <v>9372</v>
      </c>
      <c r="B1086" t="s">
        <v>276</v>
      </c>
      <c r="C1086" s="1">
        <v>43831</v>
      </c>
      <c r="D1086" s="1">
        <v>44111</v>
      </c>
      <c r="E1086">
        <v>127882</v>
      </c>
    </row>
    <row r="1087" spans="1:7" x14ac:dyDescent="0.25">
      <c r="A1087">
        <v>9372</v>
      </c>
      <c r="B1087" t="s">
        <v>276</v>
      </c>
      <c r="C1087" s="1">
        <v>44112</v>
      </c>
      <c r="D1087" s="1">
        <v>44433</v>
      </c>
      <c r="E1087">
        <v>127998</v>
      </c>
    </row>
    <row r="1088" spans="1:7" x14ac:dyDescent="0.25">
      <c r="A1088">
        <v>9372</v>
      </c>
      <c r="B1088" t="s">
        <v>276</v>
      </c>
      <c r="C1088" s="1">
        <v>44434</v>
      </c>
      <c r="D1088" s="1">
        <v>44826</v>
      </c>
      <c r="E1088">
        <v>128094</v>
      </c>
      <c r="F1088">
        <v>64292</v>
      </c>
      <c r="G1088">
        <v>63802</v>
      </c>
    </row>
    <row r="1089" spans="1:7" x14ac:dyDescent="0.25">
      <c r="A1089">
        <v>9372</v>
      </c>
      <c r="B1089" t="s">
        <v>276</v>
      </c>
      <c r="C1089" s="1">
        <v>44827</v>
      </c>
      <c r="D1089" s="1">
        <v>117974</v>
      </c>
      <c r="E1089">
        <v>128444</v>
      </c>
      <c r="F1089">
        <v>64549</v>
      </c>
      <c r="G1089">
        <v>63895</v>
      </c>
    </row>
    <row r="1090" spans="1:7" x14ac:dyDescent="0.25">
      <c r="A1090">
        <v>9373</v>
      </c>
      <c r="B1090" t="s">
        <v>277</v>
      </c>
      <c r="C1090" s="1">
        <v>43831</v>
      </c>
      <c r="D1090" s="1">
        <v>44111</v>
      </c>
      <c r="E1090">
        <v>133561</v>
      </c>
    </row>
    <row r="1091" spans="1:7" x14ac:dyDescent="0.25">
      <c r="A1091">
        <v>9373</v>
      </c>
      <c r="B1091" t="s">
        <v>277</v>
      </c>
      <c r="C1091" s="1">
        <v>44112</v>
      </c>
      <c r="D1091" s="1">
        <v>44433</v>
      </c>
      <c r="E1091">
        <v>134573</v>
      </c>
    </row>
    <row r="1092" spans="1:7" x14ac:dyDescent="0.25">
      <c r="A1092">
        <v>9373</v>
      </c>
      <c r="B1092" t="s">
        <v>277</v>
      </c>
      <c r="C1092" s="1">
        <v>44434</v>
      </c>
      <c r="D1092" s="1">
        <v>44826</v>
      </c>
      <c r="E1092">
        <v>135225</v>
      </c>
      <c r="F1092">
        <v>68357</v>
      </c>
      <c r="G1092">
        <v>66868</v>
      </c>
    </row>
    <row r="1093" spans="1:7" x14ac:dyDescent="0.25">
      <c r="A1093">
        <v>9373</v>
      </c>
      <c r="B1093" t="s">
        <v>277</v>
      </c>
      <c r="C1093" s="1">
        <v>44827</v>
      </c>
      <c r="D1093" s="1">
        <v>117974</v>
      </c>
      <c r="E1093">
        <v>136062</v>
      </c>
      <c r="F1093">
        <v>68857</v>
      </c>
      <c r="G1093">
        <v>67205</v>
      </c>
    </row>
    <row r="1094" spans="1:7" x14ac:dyDescent="0.25">
      <c r="A1094">
        <v>9374</v>
      </c>
      <c r="B1094" t="s">
        <v>278</v>
      </c>
      <c r="C1094" s="1">
        <v>43831</v>
      </c>
      <c r="D1094" s="1">
        <v>44111</v>
      </c>
      <c r="E1094">
        <v>94352</v>
      </c>
    </row>
    <row r="1095" spans="1:7" x14ac:dyDescent="0.25">
      <c r="A1095">
        <v>9374</v>
      </c>
      <c r="B1095" t="s">
        <v>278</v>
      </c>
      <c r="C1095" s="1">
        <v>44112</v>
      </c>
      <c r="D1095" s="1">
        <v>44433</v>
      </c>
      <c r="E1095">
        <v>94450</v>
      </c>
    </row>
    <row r="1096" spans="1:7" x14ac:dyDescent="0.25">
      <c r="A1096">
        <v>9374</v>
      </c>
      <c r="B1096" t="s">
        <v>278</v>
      </c>
      <c r="C1096" s="1">
        <v>44434</v>
      </c>
      <c r="D1096" s="1">
        <v>44826</v>
      </c>
      <c r="E1096">
        <v>94645</v>
      </c>
      <c r="F1096">
        <v>47124</v>
      </c>
      <c r="G1096">
        <v>47521</v>
      </c>
    </row>
    <row r="1097" spans="1:7" x14ac:dyDescent="0.25">
      <c r="A1097">
        <v>9374</v>
      </c>
      <c r="B1097" t="s">
        <v>278</v>
      </c>
      <c r="C1097" s="1">
        <v>44827</v>
      </c>
      <c r="D1097" s="1">
        <v>117974</v>
      </c>
      <c r="E1097">
        <v>94838</v>
      </c>
      <c r="F1097">
        <v>47235</v>
      </c>
      <c r="G1097">
        <v>47603</v>
      </c>
    </row>
    <row r="1098" spans="1:7" x14ac:dyDescent="0.25">
      <c r="A1098">
        <v>9375</v>
      </c>
      <c r="B1098" t="s">
        <v>279</v>
      </c>
      <c r="C1098" s="1">
        <v>43831</v>
      </c>
      <c r="D1098" s="1">
        <v>44111</v>
      </c>
      <c r="E1098">
        <v>193572</v>
      </c>
    </row>
    <row r="1099" spans="1:7" x14ac:dyDescent="0.25">
      <c r="A1099">
        <v>9375</v>
      </c>
      <c r="B1099" t="s">
        <v>279</v>
      </c>
      <c r="C1099" s="1">
        <v>44112</v>
      </c>
      <c r="D1099" s="1">
        <v>44433</v>
      </c>
      <c r="E1099">
        <v>194070</v>
      </c>
    </row>
    <row r="1100" spans="1:7" x14ac:dyDescent="0.25">
      <c r="A1100">
        <v>9375</v>
      </c>
      <c r="B1100" t="s">
        <v>279</v>
      </c>
      <c r="C1100" s="1">
        <v>44434</v>
      </c>
      <c r="D1100" s="1">
        <v>44826</v>
      </c>
      <c r="E1100">
        <v>194275</v>
      </c>
      <c r="F1100">
        <v>97228</v>
      </c>
      <c r="G1100">
        <v>97047</v>
      </c>
    </row>
    <row r="1101" spans="1:7" x14ac:dyDescent="0.25">
      <c r="A1101">
        <v>9375</v>
      </c>
      <c r="B1101" t="s">
        <v>279</v>
      </c>
      <c r="C1101" s="1">
        <v>44827</v>
      </c>
      <c r="D1101" s="1">
        <v>117974</v>
      </c>
      <c r="E1101">
        <v>195225</v>
      </c>
      <c r="F1101">
        <v>97630</v>
      </c>
      <c r="G1101">
        <v>97595</v>
      </c>
    </row>
    <row r="1102" spans="1:7" x14ac:dyDescent="0.25">
      <c r="A1102">
        <v>9376</v>
      </c>
      <c r="B1102" t="s">
        <v>280</v>
      </c>
      <c r="C1102" s="1">
        <v>43831</v>
      </c>
      <c r="D1102" s="1">
        <v>44111</v>
      </c>
      <c r="E1102">
        <v>147189</v>
      </c>
    </row>
    <row r="1103" spans="1:7" x14ac:dyDescent="0.25">
      <c r="A1103">
        <v>9376</v>
      </c>
      <c r="B1103" t="s">
        <v>280</v>
      </c>
      <c r="C1103" s="1">
        <v>44112</v>
      </c>
      <c r="D1103" s="1">
        <v>44433</v>
      </c>
      <c r="E1103">
        <v>147872</v>
      </c>
    </row>
    <row r="1104" spans="1:7" x14ac:dyDescent="0.25">
      <c r="A1104">
        <v>9376</v>
      </c>
      <c r="B1104" t="s">
        <v>280</v>
      </c>
      <c r="C1104" s="1">
        <v>44434</v>
      </c>
      <c r="D1104" s="1">
        <v>44826</v>
      </c>
      <c r="E1104">
        <v>148477</v>
      </c>
      <c r="F1104">
        <v>74622</v>
      </c>
      <c r="G1104">
        <v>73855</v>
      </c>
    </row>
    <row r="1105" spans="1:7" x14ac:dyDescent="0.25">
      <c r="A1105">
        <v>9376</v>
      </c>
      <c r="B1105" t="s">
        <v>280</v>
      </c>
      <c r="C1105" s="1">
        <v>44827</v>
      </c>
      <c r="D1105" s="1">
        <v>117974</v>
      </c>
      <c r="E1105">
        <v>149239</v>
      </c>
      <c r="F1105">
        <v>75024</v>
      </c>
      <c r="G1105">
        <v>74215</v>
      </c>
    </row>
    <row r="1106" spans="1:7" x14ac:dyDescent="0.25">
      <c r="A1106">
        <v>9377</v>
      </c>
      <c r="B1106" t="s">
        <v>281</v>
      </c>
      <c r="C1106" s="1">
        <v>43831</v>
      </c>
      <c r="D1106" s="1">
        <v>44111</v>
      </c>
      <c r="E1106">
        <v>72504</v>
      </c>
    </row>
    <row r="1107" spans="1:7" x14ac:dyDescent="0.25">
      <c r="A1107">
        <v>9377</v>
      </c>
      <c r="B1107" t="s">
        <v>281</v>
      </c>
      <c r="C1107" s="1">
        <v>44112</v>
      </c>
      <c r="D1107" s="1">
        <v>44433</v>
      </c>
      <c r="E1107">
        <v>72046</v>
      </c>
    </row>
    <row r="1108" spans="1:7" x14ac:dyDescent="0.25">
      <c r="A1108">
        <v>9377</v>
      </c>
      <c r="B1108" t="s">
        <v>281</v>
      </c>
      <c r="C1108" s="1">
        <v>44434</v>
      </c>
      <c r="D1108" s="1">
        <v>44826</v>
      </c>
      <c r="E1108">
        <v>71696</v>
      </c>
      <c r="F1108">
        <v>35712</v>
      </c>
      <c r="G1108">
        <v>35984</v>
      </c>
    </row>
    <row r="1109" spans="1:7" x14ac:dyDescent="0.25">
      <c r="A1109">
        <v>9377</v>
      </c>
      <c r="B1109" t="s">
        <v>281</v>
      </c>
      <c r="C1109" s="1">
        <v>44827</v>
      </c>
      <c r="D1109" s="1">
        <v>117974</v>
      </c>
      <c r="E1109">
        <v>71648</v>
      </c>
      <c r="F1109">
        <v>35674</v>
      </c>
      <c r="G1109">
        <v>35974</v>
      </c>
    </row>
    <row r="1110" spans="1:7" x14ac:dyDescent="0.25">
      <c r="A1110">
        <v>9461</v>
      </c>
      <c r="B1110" t="s">
        <v>282</v>
      </c>
      <c r="C1110" s="1">
        <v>43831</v>
      </c>
      <c r="D1110" s="1">
        <v>44111</v>
      </c>
      <c r="E1110">
        <v>77592</v>
      </c>
    </row>
    <row r="1111" spans="1:7" x14ac:dyDescent="0.25">
      <c r="A1111">
        <v>9461</v>
      </c>
      <c r="B1111" t="s">
        <v>282</v>
      </c>
      <c r="C1111" s="1">
        <v>44112</v>
      </c>
      <c r="D1111" s="1">
        <v>44433</v>
      </c>
      <c r="E1111">
        <v>77373</v>
      </c>
    </row>
    <row r="1112" spans="1:7" x14ac:dyDescent="0.25">
      <c r="A1112">
        <v>9461</v>
      </c>
      <c r="B1112" t="s">
        <v>282</v>
      </c>
      <c r="C1112" s="1">
        <v>44434</v>
      </c>
      <c r="D1112" s="1">
        <v>44826</v>
      </c>
      <c r="E1112">
        <v>76674</v>
      </c>
      <c r="F1112">
        <v>37065</v>
      </c>
      <c r="G1112">
        <v>39609</v>
      </c>
    </row>
    <row r="1113" spans="1:7" x14ac:dyDescent="0.25">
      <c r="A1113">
        <v>9461</v>
      </c>
      <c r="B1113" t="s">
        <v>282</v>
      </c>
      <c r="C1113" s="1">
        <v>44827</v>
      </c>
      <c r="D1113" s="1">
        <v>117974</v>
      </c>
      <c r="E1113">
        <v>77749</v>
      </c>
      <c r="F1113">
        <v>37702</v>
      </c>
      <c r="G1113">
        <v>40047</v>
      </c>
    </row>
    <row r="1114" spans="1:7" x14ac:dyDescent="0.25">
      <c r="A1114">
        <v>9462</v>
      </c>
      <c r="B1114" t="s">
        <v>283</v>
      </c>
      <c r="C1114" s="1">
        <v>43831</v>
      </c>
      <c r="D1114" s="1">
        <v>44111</v>
      </c>
      <c r="E1114">
        <v>74657</v>
      </c>
    </row>
    <row r="1115" spans="1:7" x14ac:dyDescent="0.25">
      <c r="A1115">
        <v>9462</v>
      </c>
      <c r="B1115" t="s">
        <v>283</v>
      </c>
      <c r="C1115" s="1">
        <v>44112</v>
      </c>
      <c r="D1115" s="1">
        <v>44433</v>
      </c>
      <c r="E1115">
        <v>74783</v>
      </c>
    </row>
    <row r="1116" spans="1:7" x14ac:dyDescent="0.25">
      <c r="A1116">
        <v>9462</v>
      </c>
      <c r="B1116" t="s">
        <v>283</v>
      </c>
      <c r="C1116" s="1">
        <v>44434</v>
      </c>
      <c r="D1116" s="1">
        <v>44826</v>
      </c>
      <c r="E1116">
        <v>74048</v>
      </c>
      <c r="F1116">
        <v>36200</v>
      </c>
      <c r="G1116">
        <v>37848</v>
      </c>
    </row>
    <row r="1117" spans="1:7" x14ac:dyDescent="0.25">
      <c r="A1117">
        <v>9462</v>
      </c>
      <c r="B1117" t="s">
        <v>283</v>
      </c>
      <c r="C1117" s="1">
        <v>44827</v>
      </c>
      <c r="D1117" s="1">
        <v>117974</v>
      </c>
      <c r="E1117">
        <v>73909</v>
      </c>
      <c r="F1117">
        <v>36307</v>
      </c>
      <c r="G1117">
        <v>37602</v>
      </c>
    </row>
    <row r="1118" spans="1:7" x14ac:dyDescent="0.25">
      <c r="A1118">
        <v>9463</v>
      </c>
      <c r="B1118" t="s">
        <v>284</v>
      </c>
      <c r="C1118" s="1">
        <v>43831</v>
      </c>
      <c r="D1118" s="1">
        <v>44111</v>
      </c>
      <c r="E1118">
        <v>41249</v>
      </c>
    </row>
    <row r="1119" spans="1:7" x14ac:dyDescent="0.25">
      <c r="A1119">
        <v>9463</v>
      </c>
      <c r="B1119" t="s">
        <v>284</v>
      </c>
      <c r="C1119" s="1">
        <v>44112</v>
      </c>
      <c r="D1119" s="1">
        <v>44433</v>
      </c>
      <c r="E1119">
        <v>41072</v>
      </c>
    </row>
    <row r="1120" spans="1:7" x14ac:dyDescent="0.25">
      <c r="A1120">
        <v>9463</v>
      </c>
      <c r="B1120" t="s">
        <v>284</v>
      </c>
      <c r="C1120" s="1">
        <v>44434</v>
      </c>
      <c r="D1120" s="1">
        <v>44826</v>
      </c>
      <c r="E1120">
        <v>40842</v>
      </c>
      <c r="F1120">
        <v>19883</v>
      </c>
      <c r="G1120">
        <v>20959</v>
      </c>
    </row>
    <row r="1121" spans="1:7" x14ac:dyDescent="0.25">
      <c r="A1121">
        <v>9463</v>
      </c>
      <c r="B1121" t="s">
        <v>284</v>
      </c>
      <c r="C1121" s="1">
        <v>44827</v>
      </c>
      <c r="D1121" s="1">
        <v>117974</v>
      </c>
      <c r="E1121">
        <v>40955</v>
      </c>
      <c r="F1121">
        <v>19896</v>
      </c>
      <c r="G1121">
        <v>21059</v>
      </c>
    </row>
    <row r="1122" spans="1:7" x14ac:dyDescent="0.25">
      <c r="A1122">
        <v>9464</v>
      </c>
      <c r="B1122" t="s">
        <v>285</v>
      </c>
      <c r="C1122" s="1">
        <v>43831</v>
      </c>
      <c r="D1122" s="1">
        <v>44111</v>
      </c>
      <c r="E1122">
        <v>45930</v>
      </c>
    </row>
    <row r="1123" spans="1:7" x14ac:dyDescent="0.25">
      <c r="A1123">
        <v>9464</v>
      </c>
      <c r="B1123" t="s">
        <v>285</v>
      </c>
      <c r="C1123" s="1">
        <v>44112</v>
      </c>
      <c r="D1123" s="1">
        <v>44433</v>
      </c>
      <c r="E1123">
        <v>45825</v>
      </c>
    </row>
    <row r="1124" spans="1:7" x14ac:dyDescent="0.25">
      <c r="A1124">
        <v>9464</v>
      </c>
      <c r="B1124" t="s">
        <v>285</v>
      </c>
      <c r="C1124" s="1">
        <v>44434</v>
      </c>
      <c r="D1124" s="1">
        <v>44826</v>
      </c>
      <c r="E1124">
        <v>45173</v>
      </c>
      <c r="F1124">
        <v>21757</v>
      </c>
      <c r="G1124">
        <v>23416</v>
      </c>
    </row>
    <row r="1125" spans="1:7" x14ac:dyDescent="0.25">
      <c r="A1125">
        <v>9464</v>
      </c>
      <c r="B1125" t="s">
        <v>285</v>
      </c>
      <c r="C1125" s="1">
        <v>44827</v>
      </c>
      <c r="D1125" s="1">
        <v>117974</v>
      </c>
      <c r="E1125">
        <v>45125</v>
      </c>
      <c r="F1125">
        <v>21847</v>
      </c>
      <c r="G1125">
        <v>23278</v>
      </c>
    </row>
    <row r="1126" spans="1:7" x14ac:dyDescent="0.25">
      <c r="A1126">
        <v>9471</v>
      </c>
      <c r="B1126" t="s">
        <v>286</v>
      </c>
      <c r="C1126" s="1">
        <v>43831</v>
      </c>
      <c r="D1126" s="1">
        <v>44111</v>
      </c>
      <c r="E1126">
        <v>147086</v>
      </c>
    </row>
    <row r="1127" spans="1:7" x14ac:dyDescent="0.25">
      <c r="A1127">
        <v>9471</v>
      </c>
      <c r="B1127" t="s">
        <v>286</v>
      </c>
      <c r="C1127" s="1">
        <v>44112</v>
      </c>
      <c r="D1127" s="1">
        <v>44433</v>
      </c>
      <c r="E1127">
        <v>147163</v>
      </c>
    </row>
    <row r="1128" spans="1:7" x14ac:dyDescent="0.25">
      <c r="A1128">
        <v>9471</v>
      </c>
      <c r="B1128" t="s">
        <v>286</v>
      </c>
      <c r="C1128" s="1">
        <v>44434</v>
      </c>
      <c r="D1128" s="1">
        <v>44826</v>
      </c>
      <c r="E1128">
        <v>147497</v>
      </c>
      <c r="F1128">
        <v>73872</v>
      </c>
      <c r="G1128">
        <v>73625</v>
      </c>
    </row>
    <row r="1129" spans="1:7" x14ac:dyDescent="0.25">
      <c r="A1129">
        <v>9471</v>
      </c>
      <c r="B1129" t="s">
        <v>286</v>
      </c>
      <c r="C1129" s="1">
        <v>44827</v>
      </c>
      <c r="D1129" s="1">
        <v>117974</v>
      </c>
      <c r="E1129">
        <v>147697</v>
      </c>
      <c r="F1129">
        <v>73984</v>
      </c>
      <c r="G1129">
        <v>73713</v>
      </c>
    </row>
    <row r="1130" spans="1:7" x14ac:dyDescent="0.25">
      <c r="A1130">
        <v>9472</v>
      </c>
      <c r="B1130" t="s">
        <v>287</v>
      </c>
      <c r="C1130" s="1">
        <v>43831</v>
      </c>
      <c r="D1130" s="1">
        <v>44111</v>
      </c>
      <c r="E1130">
        <v>103656</v>
      </c>
    </row>
    <row r="1131" spans="1:7" x14ac:dyDescent="0.25">
      <c r="A1131">
        <v>9472</v>
      </c>
      <c r="B1131" t="s">
        <v>287</v>
      </c>
      <c r="C1131" s="1">
        <v>44112</v>
      </c>
      <c r="D1131" s="1">
        <v>44433</v>
      </c>
      <c r="E1131">
        <v>103664</v>
      </c>
    </row>
    <row r="1132" spans="1:7" x14ac:dyDescent="0.25">
      <c r="A1132">
        <v>9472</v>
      </c>
      <c r="B1132" t="s">
        <v>287</v>
      </c>
      <c r="C1132" s="1">
        <v>44434</v>
      </c>
      <c r="D1132" s="1">
        <v>44826</v>
      </c>
      <c r="E1132">
        <v>103679</v>
      </c>
      <c r="F1132">
        <v>51385</v>
      </c>
      <c r="G1132">
        <v>52294</v>
      </c>
    </row>
    <row r="1133" spans="1:7" x14ac:dyDescent="0.25">
      <c r="A1133">
        <v>9472</v>
      </c>
      <c r="B1133" t="s">
        <v>287</v>
      </c>
      <c r="C1133" s="1">
        <v>44827</v>
      </c>
      <c r="D1133" s="1">
        <v>117974</v>
      </c>
      <c r="E1133">
        <v>103648</v>
      </c>
      <c r="F1133">
        <v>51423</v>
      </c>
      <c r="G1133">
        <v>52225</v>
      </c>
    </row>
    <row r="1134" spans="1:7" x14ac:dyDescent="0.25">
      <c r="A1134">
        <v>9473</v>
      </c>
      <c r="B1134" t="s">
        <v>288</v>
      </c>
      <c r="C1134" s="1">
        <v>43831</v>
      </c>
      <c r="D1134" s="1">
        <v>44111</v>
      </c>
      <c r="E1134">
        <v>86906</v>
      </c>
    </row>
    <row r="1135" spans="1:7" x14ac:dyDescent="0.25">
      <c r="A1135">
        <v>9473</v>
      </c>
      <c r="B1135" t="s">
        <v>288</v>
      </c>
      <c r="C1135" s="1">
        <v>44112</v>
      </c>
      <c r="D1135" s="1">
        <v>44433</v>
      </c>
      <c r="E1135">
        <v>86747</v>
      </c>
    </row>
    <row r="1136" spans="1:7" x14ac:dyDescent="0.25">
      <c r="A1136">
        <v>9473</v>
      </c>
      <c r="B1136" t="s">
        <v>288</v>
      </c>
      <c r="C1136" s="1">
        <v>44434</v>
      </c>
      <c r="D1136" s="1">
        <v>44826</v>
      </c>
      <c r="E1136">
        <v>86571</v>
      </c>
      <c r="F1136">
        <v>42744</v>
      </c>
      <c r="G1136">
        <v>43827</v>
      </c>
    </row>
    <row r="1137" spans="1:7" x14ac:dyDescent="0.25">
      <c r="A1137">
        <v>9473</v>
      </c>
      <c r="B1137" t="s">
        <v>288</v>
      </c>
      <c r="C1137" s="1">
        <v>44827</v>
      </c>
      <c r="D1137" s="1">
        <v>117974</v>
      </c>
      <c r="E1137">
        <v>86544</v>
      </c>
      <c r="F1137">
        <v>42781</v>
      </c>
      <c r="G1137">
        <v>43763</v>
      </c>
    </row>
    <row r="1138" spans="1:7" x14ac:dyDescent="0.25">
      <c r="A1138">
        <v>9474</v>
      </c>
      <c r="B1138" t="s">
        <v>289</v>
      </c>
      <c r="C1138" s="1">
        <v>43831</v>
      </c>
      <c r="D1138" s="1">
        <v>44111</v>
      </c>
      <c r="E1138">
        <v>116099</v>
      </c>
    </row>
    <row r="1139" spans="1:7" x14ac:dyDescent="0.25">
      <c r="A1139">
        <v>9474</v>
      </c>
      <c r="B1139" t="s">
        <v>289</v>
      </c>
      <c r="C1139" s="1">
        <v>44112</v>
      </c>
      <c r="D1139" s="1">
        <v>44433</v>
      </c>
      <c r="E1139">
        <v>116203</v>
      </c>
    </row>
    <row r="1140" spans="1:7" x14ac:dyDescent="0.25">
      <c r="A1140">
        <v>9474</v>
      </c>
      <c r="B1140" t="s">
        <v>289</v>
      </c>
      <c r="C1140" s="1">
        <v>44434</v>
      </c>
      <c r="D1140" s="1">
        <v>44826</v>
      </c>
      <c r="E1140">
        <v>116600</v>
      </c>
      <c r="F1140">
        <v>57924</v>
      </c>
      <c r="G1140">
        <v>58676</v>
      </c>
    </row>
    <row r="1141" spans="1:7" x14ac:dyDescent="0.25">
      <c r="A1141">
        <v>9474</v>
      </c>
      <c r="B1141" t="s">
        <v>289</v>
      </c>
      <c r="C1141" s="1">
        <v>44827</v>
      </c>
      <c r="D1141" s="1">
        <v>117974</v>
      </c>
      <c r="E1141">
        <v>116753</v>
      </c>
      <c r="F1141">
        <v>57917</v>
      </c>
      <c r="G1141">
        <v>58836</v>
      </c>
    </row>
    <row r="1142" spans="1:7" x14ac:dyDescent="0.25">
      <c r="A1142">
        <v>9475</v>
      </c>
      <c r="B1142" t="s">
        <v>290</v>
      </c>
      <c r="C1142" s="1">
        <v>43831</v>
      </c>
      <c r="D1142" s="1">
        <v>44111</v>
      </c>
      <c r="E1142">
        <v>95311</v>
      </c>
    </row>
    <row r="1143" spans="1:7" x14ac:dyDescent="0.25">
      <c r="A1143">
        <v>9475</v>
      </c>
      <c r="B1143" t="s">
        <v>290</v>
      </c>
      <c r="C1143" s="1">
        <v>44112</v>
      </c>
      <c r="D1143" s="1">
        <v>44433</v>
      </c>
      <c r="E1143">
        <v>94801</v>
      </c>
    </row>
    <row r="1144" spans="1:7" x14ac:dyDescent="0.25">
      <c r="A1144">
        <v>9475</v>
      </c>
      <c r="B1144" t="s">
        <v>290</v>
      </c>
      <c r="C1144" s="1">
        <v>44434</v>
      </c>
      <c r="D1144" s="1">
        <v>44826</v>
      </c>
      <c r="E1144">
        <v>94522</v>
      </c>
      <c r="F1144">
        <v>46316</v>
      </c>
      <c r="G1144">
        <v>48206</v>
      </c>
    </row>
    <row r="1145" spans="1:7" x14ac:dyDescent="0.25">
      <c r="A1145">
        <v>9475</v>
      </c>
      <c r="B1145" t="s">
        <v>290</v>
      </c>
      <c r="C1145" s="1">
        <v>44827</v>
      </c>
      <c r="D1145" s="1">
        <v>117974</v>
      </c>
      <c r="E1145">
        <v>93907</v>
      </c>
      <c r="F1145">
        <v>46017</v>
      </c>
      <c r="G1145">
        <v>47890</v>
      </c>
    </row>
    <row r="1146" spans="1:7" x14ac:dyDescent="0.25">
      <c r="A1146">
        <v>9476</v>
      </c>
      <c r="B1146" t="s">
        <v>291</v>
      </c>
      <c r="C1146" s="1">
        <v>43831</v>
      </c>
      <c r="D1146" s="1">
        <v>44111</v>
      </c>
      <c r="E1146">
        <v>67135</v>
      </c>
    </row>
    <row r="1147" spans="1:7" x14ac:dyDescent="0.25">
      <c r="A1147">
        <v>9476</v>
      </c>
      <c r="B1147" t="s">
        <v>291</v>
      </c>
      <c r="C1147" s="1">
        <v>44112</v>
      </c>
      <c r="D1147" s="1">
        <v>44433</v>
      </c>
      <c r="E1147">
        <v>66743</v>
      </c>
    </row>
    <row r="1148" spans="1:7" x14ac:dyDescent="0.25">
      <c r="A1148">
        <v>9476</v>
      </c>
      <c r="B1148" t="s">
        <v>291</v>
      </c>
      <c r="C1148" s="1">
        <v>44434</v>
      </c>
      <c r="D1148" s="1">
        <v>44826</v>
      </c>
      <c r="E1148">
        <v>66355</v>
      </c>
      <c r="F1148">
        <v>32789</v>
      </c>
      <c r="G1148">
        <v>33566</v>
      </c>
    </row>
    <row r="1149" spans="1:7" x14ac:dyDescent="0.25">
      <c r="A1149">
        <v>9476</v>
      </c>
      <c r="B1149" t="s">
        <v>291</v>
      </c>
      <c r="C1149" s="1">
        <v>44827</v>
      </c>
      <c r="D1149" s="1">
        <v>117974</v>
      </c>
      <c r="E1149">
        <v>66091</v>
      </c>
      <c r="F1149">
        <v>32676</v>
      </c>
      <c r="G1149">
        <v>33415</v>
      </c>
    </row>
    <row r="1150" spans="1:7" x14ac:dyDescent="0.25">
      <c r="A1150">
        <v>9477</v>
      </c>
      <c r="B1150" t="s">
        <v>292</v>
      </c>
      <c r="C1150" s="1">
        <v>43831</v>
      </c>
      <c r="D1150" s="1">
        <v>44111</v>
      </c>
      <c r="E1150">
        <v>71845</v>
      </c>
    </row>
    <row r="1151" spans="1:7" x14ac:dyDescent="0.25">
      <c r="A1151">
        <v>9477</v>
      </c>
      <c r="B1151" t="s">
        <v>292</v>
      </c>
      <c r="C1151" s="1">
        <v>44112</v>
      </c>
      <c r="D1151" s="1">
        <v>44433</v>
      </c>
      <c r="E1151">
        <v>71566</v>
      </c>
    </row>
    <row r="1152" spans="1:7" x14ac:dyDescent="0.25">
      <c r="A1152">
        <v>9477</v>
      </c>
      <c r="B1152" t="s">
        <v>292</v>
      </c>
      <c r="C1152" s="1">
        <v>44434</v>
      </c>
      <c r="D1152" s="1">
        <v>44826</v>
      </c>
      <c r="E1152">
        <v>71428</v>
      </c>
      <c r="F1152">
        <v>35174</v>
      </c>
      <c r="G1152">
        <v>36254</v>
      </c>
    </row>
    <row r="1153" spans="1:7" x14ac:dyDescent="0.25">
      <c r="A1153">
        <v>9477</v>
      </c>
      <c r="B1153" t="s">
        <v>292</v>
      </c>
      <c r="C1153" s="1">
        <v>44827</v>
      </c>
      <c r="D1153" s="1">
        <v>117974</v>
      </c>
      <c r="E1153">
        <v>71328</v>
      </c>
      <c r="F1153">
        <v>35111</v>
      </c>
      <c r="G1153">
        <v>36217</v>
      </c>
    </row>
    <row r="1154" spans="1:7" x14ac:dyDescent="0.25">
      <c r="A1154">
        <v>9478</v>
      </c>
      <c r="B1154" t="s">
        <v>293</v>
      </c>
      <c r="C1154" s="1">
        <v>43831</v>
      </c>
      <c r="D1154" s="1">
        <v>44111</v>
      </c>
      <c r="E1154">
        <v>66838</v>
      </c>
    </row>
    <row r="1155" spans="1:7" x14ac:dyDescent="0.25">
      <c r="A1155">
        <v>9478</v>
      </c>
      <c r="B1155" t="s">
        <v>293</v>
      </c>
      <c r="C1155" s="1">
        <v>44112</v>
      </c>
      <c r="D1155" s="1">
        <v>44433</v>
      </c>
      <c r="E1155">
        <v>66776</v>
      </c>
    </row>
    <row r="1156" spans="1:7" x14ac:dyDescent="0.25">
      <c r="A1156">
        <v>9478</v>
      </c>
      <c r="B1156" t="s">
        <v>293</v>
      </c>
      <c r="C1156" s="1">
        <v>44434</v>
      </c>
      <c r="D1156" s="1">
        <v>44826</v>
      </c>
      <c r="E1156">
        <v>66722</v>
      </c>
      <c r="F1156">
        <v>32949</v>
      </c>
      <c r="G1156">
        <v>33773</v>
      </c>
    </row>
    <row r="1157" spans="1:7" x14ac:dyDescent="0.25">
      <c r="A1157">
        <v>9478</v>
      </c>
      <c r="B1157" t="s">
        <v>293</v>
      </c>
      <c r="C1157" s="1">
        <v>44827</v>
      </c>
      <c r="D1157" s="1">
        <v>117974</v>
      </c>
      <c r="E1157">
        <v>66741</v>
      </c>
      <c r="F1157">
        <v>32949</v>
      </c>
      <c r="G1157">
        <v>33792</v>
      </c>
    </row>
    <row r="1158" spans="1:7" x14ac:dyDescent="0.25">
      <c r="A1158">
        <v>9479</v>
      </c>
      <c r="B1158" t="s">
        <v>294</v>
      </c>
      <c r="C1158" s="1">
        <v>43831</v>
      </c>
      <c r="D1158" s="1">
        <v>44111</v>
      </c>
      <c r="E1158">
        <v>73178</v>
      </c>
    </row>
    <row r="1159" spans="1:7" x14ac:dyDescent="0.25">
      <c r="A1159">
        <v>9479</v>
      </c>
      <c r="B1159" t="s">
        <v>294</v>
      </c>
      <c r="C1159" s="1">
        <v>44112</v>
      </c>
      <c r="D1159" s="1">
        <v>44433</v>
      </c>
      <c r="E1159">
        <v>72655</v>
      </c>
    </row>
    <row r="1160" spans="1:7" x14ac:dyDescent="0.25">
      <c r="A1160">
        <v>9479</v>
      </c>
      <c r="B1160" t="s">
        <v>294</v>
      </c>
      <c r="C1160" s="1">
        <v>44434</v>
      </c>
      <c r="D1160" s="1">
        <v>44826</v>
      </c>
      <c r="E1160">
        <v>71974</v>
      </c>
      <c r="F1160">
        <v>35198</v>
      </c>
      <c r="G1160">
        <v>36776</v>
      </c>
    </row>
    <row r="1161" spans="1:7" x14ac:dyDescent="0.25">
      <c r="A1161">
        <v>9479</v>
      </c>
      <c r="B1161" t="s">
        <v>294</v>
      </c>
      <c r="C1161" s="1">
        <v>44827</v>
      </c>
      <c r="D1161" s="1">
        <v>117974</v>
      </c>
      <c r="E1161">
        <v>71482</v>
      </c>
      <c r="F1161">
        <v>34955</v>
      </c>
      <c r="G1161">
        <v>36527</v>
      </c>
    </row>
    <row r="1162" spans="1:7" x14ac:dyDescent="0.25">
      <c r="A1162">
        <v>9561</v>
      </c>
      <c r="B1162" t="s">
        <v>295</v>
      </c>
      <c r="C1162" s="1">
        <v>43831</v>
      </c>
      <c r="D1162" s="1">
        <v>44111</v>
      </c>
      <c r="E1162">
        <v>41847</v>
      </c>
    </row>
    <row r="1163" spans="1:7" x14ac:dyDescent="0.25">
      <c r="A1163">
        <v>9561</v>
      </c>
      <c r="B1163" t="s">
        <v>295</v>
      </c>
      <c r="C1163" s="1">
        <v>44112</v>
      </c>
      <c r="D1163" s="1">
        <v>44433</v>
      </c>
      <c r="E1163">
        <v>41798</v>
      </c>
    </row>
    <row r="1164" spans="1:7" x14ac:dyDescent="0.25">
      <c r="A1164">
        <v>9561</v>
      </c>
      <c r="B1164" t="s">
        <v>295</v>
      </c>
      <c r="C1164" s="1">
        <v>44434</v>
      </c>
      <c r="D1164" s="1">
        <v>44826</v>
      </c>
      <c r="E1164">
        <v>41681</v>
      </c>
      <c r="F1164">
        <v>19999</v>
      </c>
      <c r="G1164">
        <v>21682</v>
      </c>
    </row>
    <row r="1165" spans="1:7" x14ac:dyDescent="0.25">
      <c r="A1165">
        <v>9561</v>
      </c>
      <c r="B1165" t="s">
        <v>295</v>
      </c>
      <c r="C1165" s="1">
        <v>44827</v>
      </c>
      <c r="D1165" s="1">
        <v>117974</v>
      </c>
      <c r="E1165">
        <v>41662</v>
      </c>
      <c r="F1165">
        <v>19946</v>
      </c>
      <c r="G1165">
        <v>21716</v>
      </c>
    </row>
    <row r="1166" spans="1:7" x14ac:dyDescent="0.25">
      <c r="A1166">
        <v>9562</v>
      </c>
      <c r="B1166" t="s">
        <v>296</v>
      </c>
      <c r="C1166" s="1">
        <v>43831</v>
      </c>
      <c r="D1166" s="1">
        <v>44111</v>
      </c>
      <c r="E1166">
        <v>111962</v>
      </c>
    </row>
    <row r="1167" spans="1:7" x14ac:dyDescent="0.25">
      <c r="A1167">
        <v>9562</v>
      </c>
      <c r="B1167" t="s">
        <v>296</v>
      </c>
      <c r="C1167" s="1">
        <v>44112</v>
      </c>
      <c r="D1167" s="1">
        <v>44433</v>
      </c>
      <c r="E1167">
        <v>112528</v>
      </c>
    </row>
    <row r="1168" spans="1:7" x14ac:dyDescent="0.25">
      <c r="A1168">
        <v>9562</v>
      </c>
      <c r="B1168" t="s">
        <v>296</v>
      </c>
      <c r="C1168" s="1">
        <v>44434</v>
      </c>
      <c r="D1168" s="1">
        <v>44826</v>
      </c>
      <c r="E1168">
        <v>112385</v>
      </c>
      <c r="F1168">
        <v>55944</v>
      </c>
      <c r="G1168">
        <v>56441</v>
      </c>
    </row>
    <row r="1169" spans="1:7" x14ac:dyDescent="0.25">
      <c r="A1169">
        <v>9562</v>
      </c>
      <c r="B1169" t="s">
        <v>296</v>
      </c>
      <c r="C1169" s="1">
        <v>44827</v>
      </c>
      <c r="D1169" s="1">
        <v>117974</v>
      </c>
      <c r="E1169">
        <v>113292</v>
      </c>
      <c r="F1169">
        <v>56520</v>
      </c>
      <c r="G1169">
        <v>56772</v>
      </c>
    </row>
    <row r="1170" spans="1:7" x14ac:dyDescent="0.25">
      <c r="A1170">
        <v>9563</v>
      </c>
      <c r="B1170" t="s">
        <v>297</v>
      </c>
      <c r="C1170" s="1">
        <v>43831</v>
      </c>
      <c r="D1170" s="1">
        <v>44111</v>
      </c>
      <c r="E1170">
        <v>127748</v>
      </c>
    </row>
    <row r="1171" spans="1:7" x14ac:dyDescent="0.25">
      <c r="A1171">
        <v>9563</v>
      </c>
      <c r="B1171" t="s">
        <v>297</v>
      </c>
      <c r="C1171" s="1">
        <v>44112</v>
      </c>
      <c r="D1171" s="1">
        <v>44433</v>
      </c>
      <c r="E1171">
        <v>128497</v>
      </c>
    </row>
    <row r="1172" spans="1:7" x14ac:dyDescent="0.25">
      <c r="A1172">
        <v>9563</v>
      </c>
      <c r="B1172" t="s">
        <v>297</v>
      </c>
      <c r="C1172" s="1">
        <v>44434</v>
      </c>
      <c r="D1172" s="1">
        <v>44826</v>
      </c>
      <c r="E1172">
        <v>128223</v>
      </c>
      <c r="F1172">
        <v>62837</v>
      </c>
      <c r="G1172">
        <v>65386</v>
      </c>
    </row>
    <row r="1173" spans="1:7" x14ac:dyDescent="0.25">
      <c r="A1173">
        <v>9563</v>
      </c>
      <c r="B1173" t="s">
        <v>297</v>
      </c>
      <c r="C1173" s="1">
        <v>44827</v>
      </c>
      <c r="D1173" s="1">
        <v>117974</v>
      </c>
      <c r="E1173">
        <v>129122</v>
      </c>
      <c r="F1173">
        <v>63224</v>
      </c>
      <c r="G1173">
        <v>65898</v>
      </c>
    </row>
    <row r="1174" spans="1:7" x14ac:dyDescent="0.25">
      <c r="A1174">
        <v>9564</v>
      </c>
      <c r="B1174" t="s">
        <v>298</v>
      </c>
      <c r="C1174" s="1">
        <v>43831</v>
      </c>
      <c r="D1174" s="1">
        <v>44111</v>
      </c>
      <c r="E1174">
        <v>518365</v>
      </c>
    </row>
    <row r="1175" spans="1:7" x14ac:dyDescent="0.25">
      <c r="A1175">
        <v>9564</v>
      </c>
      <c r="B1175" t="s">
        <v>298</v>
      </c>
      <c r="C1175" s="1">
        <v>44112</v>
      </c>
      <c r="D1175" s="1">
        <v>44433</v>
      </c>
      <c r="E1175">
        <v>518370</v>
      </c>
    </row>
    <row r="1176" spans="1:7" x14ac:dyDescent="0.25">
      <c r="A1176">
        <v>9564</v>
      </c>
      <c r="B1176" t="s">
        <v>298</v>
      </c>
      <c r="C1176" s="1">
        <v>44434</v>
      </c>
      <c r="D1176" s="1">
        <v>44826</v>
      </c>
      <c r="E1176">
        <v>515543</v>
      </c>
      <c r="F1176">
        <v>251839</v>
      </c>
      <c r="G1176">
        <v>263704</v>
      </c>
    </row>
    <row r="1177" spans="1:7" x14ac:dyDescent="0.25">
      <c r="A1177">
        <v>9564</v>
      </c>
      <c r="B1177" t="s">
        <v>298</v>
      </c>
      <c r="C1177" s="1">
        <v>44827</v>
      </c>
      <c r="D1177" s="1">
        <v>117974</v>
      </c>
      <c r="E1177">
        <v>510632</v>
      </c>
      <c r="F1177">
        <v>249546</v>
      </c>
      <c r="G1177">
        <v>261086</v>
      </c>
    </row>
    <row r="1178" spans="1:7" x14ac:dyDescent="0.25">
      <c r="A1178">
        <v>9565</v>
      </c>
      <c r="B1178" t="s">
        <v>299</v>
      </c>
      <c r="C1178" s="1">
        <v>43831</v>
      </c>
      <c r="D1178" s="1">
        <v>44111</v>
      </c>
      <c r="E1178">
        <v>40792</v>
      </c>
    </row>
    <row r="1179" spans="1:7" x14ac:dyDescent="0.25">
      <c r="A1179">
        <v>9565</v>
      </c>
      <c r="B1179" t="s">
        <v>299</v>
      </c>
      <c r="C1179" s="1">
        <v>44112</v>
      </c>
      <c r="D1179" s="1">
        <v>44433</v>
      </c>
      <c r="E1179">
        <v>40981</v>
      </c>
    </row>
    <row r="1180" spans="1:7" x14ac:dyDescent="0.25">
      <c r="A1180">
        <v>9565</v>
      </c>
      <c r="B1180" t="s">
        <v>299</v>
      </c>
      <c r="C1180" s="1">
        <v>44434</v>
      </c>
      <c r="D1180" s="1">
        <v>44826</v>
      </c>
      <c r="E1180">
        <v>41056</v>
      </c>
      <c r="F1180">
        <v>20173</v>
      </c>
      <c r="G1180">
        <v>20883</v>
      </c>
    </row>
    <row r="1181" spans="1:7" x14ac:dyDescent="0.25">
      <c r="A1181">
        <v>9565</v>
      </c>
      <c r="B1181" t="s">
        <v>299</v>
      </c>
      <c r="C1181" s="1">
        <v>44827</v>
      </c>
      <c r="D1181" s="1">
        <v>117974</v>
      </c>
      <c r="E1181">
        <v>41146</v>
      </c>
      <c r="F1181">
        <v>20207</v>
      </c>
      <c r="G1181">
        <v>20939</v>
      </c>
    </row>
    <row r="1182" spans="1:7" x14ac:dyDescent="0.25">
      <c r="A1182">
        <v>9571</v>
      </c>
      <c r="B1182" t="s">
        <v>300</v>
      </c>
      <c r="C1182" s="1">
        <v>43831</v>
      </c>
      <c r="D1182" s="1">
        <v>44111</v>
      </c>
      <c r="E1182">
        <v>183949</v>
      </c>
    </row>
    <row r="1183" spans="1:7" x14ac:dyDescent="0.25">
      <c r="A1183">
        <v>9571</v>
      </c>
      <c r="B1183" t="s">
        <v>300</v>
      </c>
      <c r="C1183" s="1">
        <v>44112</v>
      </c>
      <c r="D1183" s="1">
        <v>44433</v>
      </c>
      <c r="E1183">
        <v>184591</v>
      </c>
    </row>
    <row r="1184" spans="1:7" x14ac:dyDescent="0.25">
      <c r="A1184">
        <v>9571</v>
      </c>
      <c r="B1184" t="s">
        <v>300</v>
      </c>
      <c r="C1184" s="1">
        <v>44434</v>
      </c>
      <c r="D1184" s="1">
        <v>44826</v>
      </c>
      <c r="E1184">
        <v>185316</v>
      </c>
      <c r="F1184">
        <v>93084</v>
      </c>
      <c r="G1184">
        <v>92232</v>
      </c>
    </row>
    <row r="1185" spans="1:7" x14ac:dyDescent="0.25">
      <c r="A1185">
        <v>9571</v>
      </c>
      <c r="B1185" t="s">
        <v>300</v>
      </c>
      <c r="C1185" s="1">
        <v>44827</v>
      </c>
      <c r="D1185" s="1">
        <v>117974</v>
      </c>
      <c r="E1185">
        <v>186279</v>
      </c>
      <c r="F1185">
        <v>93562</v>
      </c>
      <c r="G1185">
        <v>92717</v>
      </c>
    </row>
    <row r="1186" spans="1:7" x14ac:dyDescent="0.25">
      <c r="A1186">
        <v>9572</v>
      </c>
      <c r="B1186" t="s">
        <v>301</v>
      </c>
      <c r="C1186" s="1">
        <v>43831</v>
      </c>
      <c r="D1186" s="1">
        <v>44111</v>
      </c>
      <c r="E1186">
        <v>136271</v>
      </c>
    </row>
    <row r="1187" spans="1:7" x14ac:dyDescent="0.25">
      <c r="A1187">
        <v>9572</v>
      </c>
      <c r="B1187" t="s">
        <v>301</v>
      </c>
      <c r="C1187" s="1">
        <v>44112</v>
      </c>
      <c r="D1187" s="1">
        <v>44433</v>
      </c>
      <c r="E1187">
        <v>137262</v>
      </c>
    </row>
    <row r="1188" spans="1:7" x14ac:dyDescent="0.25">
      <c r="A1188">
        <v>9572</v>
      </c>
      <c r="B1188" t="s">
        <v>301</v>
      </c>
      <c r="C1188" s="1">
        <v>44434</v>
      </c>
      <c r="D1188" s="1">
        <v>44826</v>
      </c>
      <c r="E1188">
        <v>138105</v>
      </c>
      <c r="F1188">
        <v>68554</v>
      </c>
      <c r="G1188">
        <v>69551</v>
      </c>
    </row>
    <row r="1189" spans="1:7" x14ac:dyDescent="0.25">
      <c r="A1189">
        <v>9572</v>
      </c>
      <c r="B1189" t="s">
        <v>301</v>
      </c>
      <c r="C1189" s="1">
        <v>44827</v>
      </c>
      <c r="D1189" s="1">
        <v>117974</v>
      </c>
      <c r="E1189">
        <v>139323</v>
      </c>
      <c r="F1189">
        <v>69214</v>
      </c>
      <c r="G1189">
        <v>70109</v>
      </c>
    </row>
    <row r="1190" spans="1:7" x14ac:dyDescent="0.25">
      <c r="A1190">
        <v>9573</v>
      </c>
      <c r="B1190" t="s">
        <v>302</v>
      </c>
      <c r="C1190" s="1">
        <v>43831</v>
      </c>
      <c r="D1190" s="1">
        <v>44111</v>
      </c>
      <c r="E1190">
        <v>117387</v>
      </c>
    </row>
    <row r="1191" spans="1:7" x14ac:dyDescent="0.25">
      <c r="A1191">
        <v>9573</v>
      </c>
      <c r="B1191" t="s">
        <v>302</v>
      </c>
      <c r="C1191" s="1">
        <v>44112</v>
      </c>
      <c r="D1191" s="1">
        <v>44433</v>
      </c>
      <c r="E1191">
        <v>117853</v>
      </c>
    </row>
    <row r="1192" spans="1:7" x14ac:dyDescent="0.25">
      <c r="A1192">
        <v>9573</v>
      </c>
      <c r="B1192" t="s">
        <v>302</v>
      </c>
      <c r="C1192" s="1">
        <v>44434</v>
      </c>
      <c r="D1192" s="1">
        <v>44826</v>
      </c>
      <c r="E1192">
        <v>118695</v>
      </c>
      <c r="F1192">
        <v>57692</v>
      </c>
      <c r="G1192">
        <v>61003</v>
      </c>
    </row>
    <row r="1193" spans="1:7" x14ac:dyDescent="0.25">
      <c r="A1193">
        <v>9573</v>
      </c>
      <c r="B1193" t="s">
        <v>302</v>
      </c>
      <c r="C1193" s="1">
        <v>44827</v>
      </c>
      <c r="D1193" s="1">
        <v>117974</v>
      </c>
      <c r="E1193">
        <v>119432</v>
      </c>
      <c r="F1193">
        <v>58211</v>
      </c>
      <c r="G1193">
        <v>61221</v>
      </c>
    </row>
    <row r="1194" spans="1:7" x14ac:dyDescent="0.25">
      <c r="A1194">
        <v>9574</v>
      </c>
      <c r="B1194" t="s">
        <v>303</v>
      </c>
      <c r="C1194" s="1">
        <v>43831</v>
      </c>
      <c r="D1194" s="1">
        <v>44111</v>
      </c>
      <c r="E1194">
        <v>170365</v>
      </c>
    </row>
    <row r="1195" spans="1:7" x14ac:dyDescent="0.25">
      <c r="A1195">
        <v>9574</v>
      </c>
      <c r="B1195" t="s">
        <v>303</v>
      </c>
      <c r="C1195" s="1">
        <v>44112</v>
      </c>
      <c r="D1195" s="1">
        <v>44433</v>
      </c>
      <c r="E1195">
        <v>170792</v>
      </c>
    </row>
    <row r="1196" spans="1:7" x14ac:dyDescent="0.25">
      <c r="A1196">
        <v>9574</v>
      </c>
      <c r="B1196" t="s">
        <v>303</v>
      </c>
      <c r="C1196" s="1">
        <v>44434</v>
      </c>
      <c r="D1196" s="1">
        <v>44826</v>
      </c>
      <c r="E1196">
        <v>171143</v>
      </c>
      <c r="F1196">
        <v>84222</v>
      </c>
      <c r="G1196">
        <v>86921</v>
      </c>
    </row>
    <row r="1197" spans="1:7" x14ac:dyDescent="0.25">
      <c r="A1197">
        <v>9574</v>
      </c>
      <c r="B1197" t="s">
        <v>303</v>
      </c>
      <c r="C1197" s="1">
        <v>44827</v>
      </c>
      <c r="D1197" s="1">
        <v>117974</v>
      </c>
      <c r="E1197">
        <v>171424</v>
      </c>
      <c r="F1197">
        <v>84391</v>
      </c>
      <c r="G1197">
        <v>87033</v>
      </c>
    </row>
    <row r="1198" spans="1:7" x14ac:dyDescent="0.25">
      <c r="A1198">
        <v>9575</v>
      </c>
      <c r="B1198" t="s">
        <v>304</v>
      </c>
      <c r="C1198" s="1">
        <v>43831</v>
      </c>
      <c r="D1198" s="1">
        <v>44111</v>
      </c>
      <c r="E1198">
        <v>100364</v>
      </c>
    </row>
    <row r="1199" spans="1:7" x14ac:dyDescent="0.25">
      <c r="A1199">
        <v>9575</v>
      </c>
      <c r="B1199" t="s">
        <v>304</v>
      </c>
      <c r="C1199" s="1">
        <v>44112</v>
      </c>
      <c r="D1199" s="1">
        <v>44433</v>
      </c>
      <c r="E1199">
        <v>101014</v>
      </c>
    </row>
    <row r="1200" spans="1:7" x14ac:dyDescent="0.25">
      <c r="A1200">
        <v>9575</v>
      </c>
      <c r="B1200" t="s">
        <v>304</v>
      </c>
      <c r="C1200" s="1">
        <v>44434</v>
      </c>
      <c r="D1200" s="1">
        <v>44826</v>
      </c>
      <c r="E1200">
        <v>101272</v>
      </c>
      <c r="F1200">
        <v>50756</v>
      </c>
      <c r="G1200">
        <v>50516</v>
      </c>
    </row>
    <row r="1201" spans="1:7" x14ac:dyDescent="0.25">
      <c r="A1201">
        <v>9575</v>
      </c>
      <c r="B1201" t="s">
        <v>304</v>
      </c>
      <c r="C1201" s="1">
        <v>44827</v>
      </c>
      <c r="D1201" s="1">
        <v>117974</v>
      </c>
      <c r="E1201">
        <v>101788</v>
      </c>
      <c r="F1201">
        <v>51017</v>
      </c>
      <c r="G1201">
        <v>50771</v>
      </c>
    </row>
    <row r="1202" spans="1:7" x14ac:dyDescent="0.25">
      <c r="A1202">
        <v>9576</v>
      </c>
      <c r="B1202" t="s">
        <v>305</v>
      </c>
      <c r="C1202" s="1">
        <v>43831</v>
      </c>
      <c r="D1202" s="1">
        <v>44111</v>
      </c>
      <c r="E1202">
        <v>126958</v>
      </c>
    </row>
    <row r="1203" spans="1:7" x14ac:dyDescent="0.25">
      <c r="A1203">
        <v>9576</v>
      </c>
      <c r="B1203" t="s">
        <v>305</v>
      </c>
      <c r="C1203" s="1">
        <v>44112</v>
      </c>
      <c r="D1203" s="1">
        <v>44433</v>
      </c>
      <c r="E1203">
        <v>126749</v>
      </c>
    </row>
    <row r="1204" spans="1:7" x14ac:dyDescent="0.25">
      <c r="A1204">
        <v>9576</v>
      </c>
      <c r="B1204" t="s">
        <v>305</v>
      </c>
      <c r="C1204" s="1">
        <v>44434</v>
      </c>
      <c r="D1204" s="1">
        <v>44826</v>
      </c>
      <c r="E1204">
        <v>127168</v>
      </c>
      <c r="F1204">
        <v>63132</v>
      </c>
      <c r="G1204">
        <v>64036</v>
      </c>
    </row>
    <row r="1205" spans="1:7" x14ac:dyDescent="0.25">
      <c r="A1205">
        <v>9576</v>
      </c>
      <c r="B1205" t="s">
        <v>305</v>
      </c>
      <c r="C1205" s="1">
        <v>44827</v>
      </c>
      <c r="D1205" s="1">
        <v>117974</v>
      </c>
      <c r="E1205">
        <v>127520</v>
      </c>
      <c r="F1205">
        <v>63240</v>
      </c>
      <c r="G1205">
        <v>64280</v>
      </c>
    </row>
    <row r="1206" spans="1:7" x14ac:dyDescent="0.25">
      <c r="A1206">
        <v>9577</v>
      </c>
      <c r="B1206" t="s">
        <v>306</v>
      </c>
      <c r="C1206" s="1">
        <v>43831</v>
      </c>
      <c r="D1206" s="1">
        <v>44111</v>
      </c>
      <c r="E1206">
        <v>94393</v>
      </c>
    </row>
    <row r="1207" spans="1:7" x14ac:dyDescent="0.25">
      <c r="A1207">
        <v>9577</v>
      </c>
      <c r="B1207" t="s">
        <v>306</v>
      </c>
      <c r="C1207" s="1">
        <v>44112</v>
      </c>
      <c r="D1207" s="1">
        <v>44433</v>
      </c>
      <c r="E1207">
        <v>94734</v>
      </c>
    </row>
    <row r="1208" spans="1:7" x14ac:dyDescent="0.25">
      <c r="A1208">
        <v>9577</v>
      </c>
      <c r="B1208" t="s">
        <v>306</v>
      </c>
      <c r="C1208" s="1">
        <v>44434</v>
      </c>
      <c r="D1208" s="1">
        <v>44826</v>
      </c>
      <c r="E1208">
        <v>95117</v>
      </c>
      <c r="F1208">
        <v>47488</v>
      </c>
      <c r="G1208">
        <v>47629</v>
      </c>
    </row>
    <row r="1209" spans="1:7" x14ac:dyDescent="0.25">
      <c r="A1209">
        <v>9577</v>
      </c>
      <c r="B1209" t="s">
        <v>306</v>
      </c>
      <c r="C1209" s="1">
        <v>44827</v>
      </c>
      <c r="D1209" s="1">
        <v>117974</v>
      </c>
      <c r="E1209">
        <v>95523</v>
      </c>
      <c r="F1209">
        <v>47641</v>
      </c>
      <c r="G1209">
        <v>47882</v>
      </c>
    </row>
    <row r="1210" spans="1:7" x14ac:dyDescent="0.25">
      <c r="A1210">
        <v>9661</v>
      </c>
      <c r="B1210" t="s">
        <v>307</v>
      </c>
      <c r="C1210" s="1">
        <v>43831</v>
      </c>
      <c r="D1210" s="1">
        <v>44111</v>
      </c>
      <c r="E1210">
        <v>70527</v>
      </c>
    </row>
    <row r="1211" spans="1:7" x14ac:dyDescent="0.25">
      <c r="A1211">
        <v>9661</v>
      </c>
      <c r="B1211" t="s">
        <v>307</v>
      </c>
      <c r="C1211" s="1">
        <v>44112</v>
      </c>
      <c r="D1211" s="1">
        <v>44433</v>
      </c>
      <c r="E1211">
        <v>71002</v>
      </c>
    </row>
    <row r="1212" spans="1:7" x14ac:dyDescent="0.25">
      <c r="A1212">
        <v>9661</v>
      </c>
      <c r="B1212" t="s">
        <v>307</v>
      </c>
      <c r="C1212" s="1">
        <v>44434</v>
      </c>
      <c r="D1212" s="1">
        <v>44826</v>
      </c>
      <c r="E1212">
        <v>70858</v>
      </c>
      <c r="F1212">
        <v>34529</v>
      </c>
      <c r="G1212">
        <v>36329</v>
      </c>
    </row>
    <row r="1213" spans="1:7" x14ac:dyDescent="0.25">
      <c r="A1213">
        <v>9661</v>
      </c>
      <c r="B1213" t="s">
        <v>307</v>
      </c>
      <c r="C1213" s="1">
        <v>44827</v>
      </c>
      <c r="D1213" s="1">
        <v>117974</v>
      </c>
      <c r="E1213">
        <v>71381</v>
      </c>
      <c r="F1213">
        <v>34822</v>
      </c>
      <c r="G1213">
        <v>36559</v>
      </c>
    </row>
    <row r="1214" spans="1:7" x14ac:dyDescent="0.25">
      <c r="A1214">
        <v>9662</v>
      </c>
      <c r="B1214" t="s">
        <v>308</v>
      </c>
      <c r="C1214" s="1">
        <v>43831</v>
      </c>
      <c r="D1214" s="1">
        <v>44111</v>
      </c>
      <c r="E1214">
        <v>54032</v>
      </c>
    </row>
    <row r="1215" spans="1:7" x14ac:dyDescent="0.25">
      <c r="A1215">
        <v>9662</v>
      </c>
      <c r="B1215" t="s">
        <v>308</v>
      </c>
      <c r="C1215" s="1">
        <v>44112</v>
      </c>
      <c r="D1215" s="1">
        <v>44433</v>
      </c>
      <c r="E1215">
        <v>53426</v>
      </c>
    </row>
    <row r="1216" spans="1:7" x14ac:dyDescent="0.25">
      <c r="A1216">
        <v>9662</v>
      </c>
      <c r="B1216" t="s">
        <v>308</v>
      </c>
      <c r="C1216" s="1">
        <v>44434</v>
      </c>
      <c r="D1216" s="1">
        <v>44826</v>
      </c>
      <c r="E1216">
        <v>53319</v>
      </c>
      <c r="F1216">
        <v>26185</v>
      </c>
      <c r="G1216">
        <v>27134</v>
      </c>
    </row>
    <row r="1217" spans="1:7" x14ac:dyDescent="0.25">
      <c r="A1217">
        <v>9662</v>
      </c>
      <c r="B1217" t="s">
        <v>308</v>
      </c>
      <c r="C1217" s="1">
        <v>44827</v>
      </c>
      <c r="D1217" s="1">
        <v>117974</v>
      </c>
      <c r="E1217">
        <v>53585</v>
      </c>
      <c r="F1217">
        <v>26451</v>
      </c>
      <c r="G1217">
        <v>27134</v>
      </c>
    </row>
    <row r="1218" spans="1:7" x14ac:dyDescent="0.25">
      <c r="A1218">
        <v>9663</v>
      </c>
      <c r="B1218" t="s">
        <v>309</v>
      </c>
      <c r="C1218" s="1">
        <v>43831</v>
      </c>
      <c r="D1218" s="1">
        <v>44111</v>
      </c>
      <c r="E1218">
        <v>127880</v>
      </c>
    </row>
    <row r="1219" spans="1:7" x14ac:dyDescent="0.25">
      <c r="A1219">
        <v>9663</v>
      </c>
      <c r="B1219" t="s">
        <v>309</v>
      </c>
      <c r="C1219" s="1">
        <v>44112</v>
      </c>
      <c r="D1219" s="1">
        <v>44433</v>
      </c>
      <c r="E1219">
        <v>127934</v>
      </c>
    </row>
    <row r="1220" spans="1:7" x14ac:dyDescent="0.25">
      <c r="A1220">
        <v>9663</v>
      </c>
      <c r="B1220" t="s">
        <v>309</v>
      </c>
      <c r="C1220" s="1">
        <v>44434</v>
      </c>
      <c r="D1220" s="1">
        <v>44826</v>
      </c>
      <c r="E1220">
        <v>126954</v>
      </c>
      <c r="F1220">
        <v>60725</v>
      </c>
      <c r="G1220">
        <v>66229</v>
      </c>
    </row>
    <row r="1221" spans="1:7" x14ac:dyDescent="0.25">
      <c r="A1221">
        <v>9663</v>
      </c>
      <c r="B1221" t="s">
        <v>309</v>
      </c>
      <c r="C1221" s="1">
        <v>44827</v>
      </c>
      <c r="D1221" s="1">
        <v>117974</v>
      </c>
      <c r="E1221">
        <v>126933</v>
      </c>
      <c r="F1221">
        <v>60749</v>
      </c>
      <c r="G1221">
        <v>66184</v>
      </c>
    </row>
    <row r="1222" spans="1:7" x14ac:dyDescent="0.25">
      <c r="A1222">
        <v>9671</v>
      </c>
      <c r="B1222" t="s">
        <v>310</v>
      </c>
      <c r="C1222" s="1">
        <v>43831</v>
      </c>
      <c r="D1222" s="1">
        <v>44111</v>
      </c>
      <c r="E1222">
        <v>174208</v>
      </c>
    </row>
    <row r="1223" spans="1:7" x14ac:dyDescent="0.25">
      <c r="A1223">
        <v>9671</v>
      </c>
      <c r="B1223" t="s">
        <v>310</v>
      </c>
      <c r="C1223" s="1">
        <v>44112</v>
      </c>
      <c r="D1223" s="1">
        <v>44433</v>
      </c>
      <c r="E1223">
        <v>174200</v>
      </c>
    </row>
    <row r="1224" spans="1:7" x14ac:dyDescent="0.25">
      <c r="A1224">
        <v>9671</v>
      </c>
      <c r="B1224" t="s">
        <v>310</v>
      </c>
      <c r="C1224" s="1">
        <v>44434</v>
      </c>
      <c r="D1224" s="1">
        <v>44826</v>
      </c>
      <c r="E1224">
        <v>174658</v>
      </c>
      <c r="F1224">
        <v>86742</v>
      </c>
      <c r="G1224">
        <v>87916</v>
      </c>
    </row>
    <row r="1225" spans="1:7" x14ac:dyDescent="0.25">
      <c r="A1225">
        <v>9671</v>
      </c>
      <c r="B1225" t="s">
        <v>310</v>
      </c>
      <c r="C1225" s="1">
        <v>44827</v>
      </c>
      <c r="D1225" s="1">
        <v>117974</v>
      </c>
      <c r="E1225">
        <v>174965</v>
      </c>
      <c r="F1225">
        <v>86790</v>
      </c>
      <c r="G1225">
        <v>88175</v>
      </c>
    </row>
    <row r="1226" spans="1:7" x14ac:dyDescent="0.25">
      <c r="A1226">
        <v>9672</v>
      </c>
      <c r="B1226" t="s">
        <v>311</v>
      </c>
      <c r="C1226" s="1">
        <v>43831</v>
      </c>
      <c r="D1226" s="1">
        <v>44111</v>
      </c>
      <c r="E1226">
        <v>103218</v>
      </c>
    </row>
    <row r="1227" spans="1:7" x14ac:dyDescent="0.25">
      <c r="A1227">
        <v>9672</v>
      </c>
      <c r="B1227" t="s">
        <v>311</v>
      </c>
      <c r="C1227" s="1">
        <v>44112</v>
      </c>
      <c r="D1227" s="1">
        <v>44433</v>
      </c>
      <c r="E1227">
        <v>103235</v>
      </c>
    </row>
    <row r="1228" spans="1:7" x14ac:dyDescent="0.25">
      <c r="A1228">
        <v>9672</v>
      </c>
      <c r="B1228" t="s">
        <v>311</v>
      </c>
      <c r="C1228" s="1">
        <v>44434</v>
      </c>
      <c r="D1228" s="1">
        <v>44826</v>
      </c>
      <c r="E1228">
        <v>103169</v>
      </c>
      <c r="F1228">
        <v>50819</v>
      </c>
      <c r="G1228">
        <v>52350</v>
      </c>
    </row>
    <row r="1229" spans="1:7" x14ac:dyDescent="0.25">
      <c r="A1229">
        <v>9672</v>
      </c>
      <c r="B1229" t="s">
        <v>311</v>
      </c>
      <c r="C1229" s="1">
        <v>44827</v>
      </c>
      <c r="D1229" s="1">
        <v>117974</v>
      </c>
      <c r="E1229">
        <v>103454</v>
      </c>
      <c r="F1229">
        <v>50987</v>
      </c>
      <c r="G1229">
        <v>52467</v>
      </c>
    </row>
    <row r="1230" spans="1:7" x14ac:dyDescent="0.25">
      <c r="A1230">
        <v>9673</v>
      </c>
      <c r="B1230" t="s">
        <v>312</v>
      </c>
      <c r="C1230" s="1">
        <v>43831</v>
      </c>
      <c r="D1230" s="1">
        <v>44111</v>
      </c>
      <c r="E1230">
        <v>79690</v>
      </c>
    </row>
    <row r="1231" spans="1:7" x14ac:dyDescent="0.25">
      <c r="A1231">
        <v>9673</v>
      </c>
      <c r="B1231" t="s">
        <v>312</v>
      </c>
      <c r="C1231" s="1">
        <v>44112</v>
      </c>
      <c r="D1231" s="1">
        <v>44433</v>
      </c>
      <c r="E1231">
        <v>79635</v>
      </c>
    </row>
    <row r="1232" spans="1:7" x14ac:dyDescent="0.25">
      <c r="A1232">
        <v>9673</v>
      </c>
      <c r="B1232" t="s">
        <v>312</v>
      </c>
      <c r="C1232" s="1">
        <v>44434</v>
      </c>
      <c r="D1232" s="1">
        <v>44826</v>
      </c>
      <c r="E1232">
        <v>79510</v>
      </c>
      <c r="F1232">
        <v>39523</v>
      </c>
      <c r="G1232">
        <v>39987</v>
      </c>
    </row>
    <row r="1233" spans="1:7" x14ac:dyDescent="0.25">
      <c r="A1233">
        <v>9673</v>
      </c>
      <c r="B1233" t="s">
        <v>312</v>
      </c>
      <c r="C1233" s="1">
        <v>44827</v>
      </c>
      <c r="D1233" s="1">
        <v>117974</v>
      </c>
      <c r="E1233">
        <v>79376</v>
      </c>
      <c r="F1233">
        <v>39486</v>
      </c>
      <c r="G1233">
        <v>39890</v>
      </c>
    </row>
    <row r="1234" spans="1:7" x14ac:dyDescent="0.25">
      <c r="A1234">
        <v>9674</v>
      </c>
      <c r="B1234" t="s">
        <v>313</v>
      </c>
      <c r="C1234" s="1">
        <v>43831</v>
      </c>
      <c r="D1234" s="1">
        <v>44111</v>
      </c>
      <c r="E1234">
        <v>84599</v>
      </c>
    </row>
    <row r="1235" spans="1:7" x14ac:dyDescent="0.25">
      <c r="A1235">
        <v>9674</v>
      </c>
      <c r="B1235" t="s">
        <v>313</v>
      </c>
      <c r="C1235" s="1">
        <v>44112</v>
      </c>
      <c r="D1235" s="1">
        <v>44433</v>
      </c>
      <c r="E1235">
        <v>84384</v>
      </c>
    </row>
    <row r="1236" spans="1:7" x14ac:dyDescent="0.25">
      <c r="A1236">
        <v>9674</v>
      </c>
      <c r="B1236" t="s">
        <v>313</v>
      </c>
      <c r="C1236" s="1">
        <v>44434</v>
      </c>
      <c r="D1236" s="1">
        <v>44826</v>
      </c>
      <c r="E1236">
        <v>84275</v>
      </c>
      <c r="F1236">
        <v>42273</v>
      </c>
      <c r="G1236">
        <v>42002</v>
      </c>
    </row>
    <row r="1237" spans="1:7" x14ac:dyDescent="0.25">
      <c r="A1237">
        <v>9674</v>
      </c>
      <c r="B1237" t="s">
        <v>313</v>
      </c>
      <c r="C1237" s="1">
        <v>44827</v>
      </c>
      <c r="D1237" s="1">
        <v>117974</v>
      </c>
      <c r="E1237">
        <v>84284</v>
      </c>
      <c r="F1237">
        <v>42287</v>
      </c>
      <c r="G1237">
        <v>41997</v>
      </c>
    </row>
    <row r="1238" spans="1:7" x14ac:dyDescent="0.25">
      <c r="A1238">
        <v>9675</v>
      </c>
      <c r="B1238" t="s">
        <v>314</v>
      </c>
      <c r="C1238" s="1">
        <v>43831</v>
      </c>
      <c r="D1238" s="1">
        <v>44111</v>
      </c>
      <c r="E1238">
        <v>90909</v>
      </c>
    </row>
    <row r="1239" spans="1:7" x14ac:dyDescent="0.25">
      <c r="A1239">
        <v>9675</v>
      </c>
      <c r="B1239" t="s">
        <v>314</v>
      </c>
      <c r="C1239" s="1">
        <v>44112</v>
      </c>
      <c r="D1239" s="1">
        <v>44433</v>
      </c>
      <c r="E1239">
        <v>91155</v>
      </c>
    </row>
    <row r="1240" spans="1:7" x14ac:dyDescent="0.25">
      <c r="A1240">
        <v>9675</v>
      </c>
      <c r="B1240" t="s">
        <v>314</v>
      </c>
      <c r="C1240" s="1">
        <v>44434</v>
      </c>
      <c r="D1240" s="1">
        <v>44826</v>
      </c>
      <c r="E1240">
        <v>91696</v>
      </c>
      <c r="F1240">
        <v>46040</v>
      </c>
      <c r="G1240">
        <v>45656</v>
      </c>
    </row>
    <row r="1241" spans="1:7" x14ac:dyDescent="0.25">
      <c r="A1241">
        <v>9675</v>
      </c>
      <c r="B1241" t="s">
        <v>314</v>
      </c>
      <c r="C1241" s="1">
        <v>44827</v>
      </c>
      <c r="D1241" s="1">
        <v>117974</v>
      </c>
      <c r="E1241">
        <v>91980</v>
      </c>
      <c r="F1241">
        <v>46286</v>
      </c>
      <c r="G1241">
        <v>45694</v>
      </c>
    </row>
    <row r="1242" spans="1:7" x14ac:dyDescent="0.25">
      <c r="A1242">
        <v>9676</v>
      </c>
      <c r="B1242" t="s">
        <v>315</v>
      </c>
      <c r="C1242" s="1">
        <v>43831</v>
      </c>
      <c r="D1242" s="1">
        <v>44111</v>
      </c>
      <c r="E1242">
        <v>128756</v>
      </c>
    </row>
    <row r="1243" spans="1:7" x14ac:dyDescent="0.25">
      <c r="A1243">
        <v>9676</v>
      </c>
      <c r="B1243" t="s">
        <v>315</v>
      </c>
      <c r="C1243" s="1">
        <v>44112</v>
      </c>
      <c r="D1243" s="1">
        <v>44433</v>
      </c>
      <c r="E1243">
        <v>128743</v>
      </c>
    </row>
    <row r="1244" spans="1:7" x14ac:dyDescent="0.25">
      <c r="A1244">
        <v>9676</v>
      </c>
      <c r="B1244" t="s">
        <v>315</v>
      </c>
      <c r="C1244" s="1">
        <v>44434</v>
      </c>
      <c r="D1244" s="1">
        <v>44826</v>
      </c>
      <c r="E1244">
        <v>128743</v>
      </c>
      <c r="F1244">
        <v>64038</v>
      </c>
      <c r="G1244">
        <v>64705</v>
      </c>
    </row>
    <row r="1245" spans="1:7" x14ac:dyDescent="0.25">
      <c r="A1245">
        <v>9676</v>
      </c>
      <c r="B1245" t="s">
        <v>315</v>
      </c>
      <c r="C1245" s="1">
        <v>44827</v>
      </c>
      <c r="D1245" s="1">
        <v>117974</v>
      </c>
      <c r="E1245">
        <v>128782</v>
      </c>
      <c r="F1245">
        <v>64051</v>
      </c>
      <c r="G1245">
        <v>64731</v>
      </c>
    </row>
    <row r="1246" spans="1:7" x14ac:dyDescent="0.25">
      <c r="A1246">
        <v>9677</v>
      </c>
      <c r="B1246" t="s">
        <v>316</v>
      </c>
      <c r="C1246" s="1">
        <v>43831</v>
      </c>
      <c r="D1246" s="1">
        <v>44111</v>
      </c>
      <c r="E1246">
        <v>126365</v>
      </c>
    </row>
    <row r="1247" spans="1:7" x14ac:dyDescent="0.25">
      <c r="A1247">
        <v>9677</v>
      </c>
      <c r="B1247" t="s">
        <v>316</v>
      </c>
      <c r="C1247" s="1">
        <v>44112</v>
      </c>
      <c r="D1247" s="1">
        <v>44433</v>
      </c>
      <c r="E1247">
        <v>126158</v>
      </c>
    </row>
    <row r="1248" spans="1:7" x14ac:dyDescent="0.25">
      <c r="A1248">
        <v>9677</v>
      </c>
      <c r="B1248" t="s">
        <v>316</v>
      </c>
      <c r="C1248" s="1">
        <v>44434</v>
      </c>
      <c r="D1248" s="1">
        <v>44826</v>
      </c>
      <c r="E1248">
        <v>125976</v>
      </c>
      <c r="F1248">
        <v>62763</v>
      </c>
      <c r="G1248">
        <v>63213</v>
      </c>
    </row>
    <row r="1249" spans="1:7" x14ac:dyDescent="0.25">
      <c r="A1249">
        <v>9677</v>
      </c>
      <c r="B1249" t="s">
        <v>316</v>
      </c>
      <c r="C1249" s="1">
        <v>44827</v>
      </c>
      <c r="D1249" s="1">
        <v>117974</v>
      </c>
      <c r="E1249">
        <v>126105</v>
      </c>
      <c r="F1249">
        <v>62873</v>
      </c>
      <c r="G1249">
        <v>63232</v>
      </c>
    </row>
    <row r="1250" spans="1:7" x14ac:dyDescent="0.25">
      <c r="A1250">
        <v>9678</v>
      </c>
      <c r="B1250" t="s">
        <v>317</v>
      </c>
      <c r="C1250" s="1">
        <v>43831</v>
      </c>
      <c r="D1250" s="1">
        <v>44111</v>
      </c>
      <c r="E1250">
        <v>115106</v>
      </c>
    </row>
    <row r="1251" spans="1:7" x14ac:dyDescent="0.25">
      <c r="A1251">
        <v>9678</v>
      </c>
      <c r="B1251" t="s">
        <v>317</v>
      </c>
      <c r="C1251" s="1">
        <v>44112</v>
      </c>
      <c r="D1251" s="1">
        <v>44433</v>
      </c>
      <c r="E1251">
        <v>115445</v>
      </c>
    </row>
    <row r="1252" spans="1:7" x14ac:dyDescent="0.25">
      <c r="A1252">
        <v>9678</v>
      </c>
      <c r="B1252" t="s">
        <v>317</v>
      </c>
      <c r="C1252" s="1">
        <v>44434</v>
      </c>
      <c r="D1252" s="1">
        <v>44826</v>
      </c>
      <c r="E1252">
        <v>115652</v>
      </c>
      <c r="F1252">
        <v>58087</v>
      </c>
      <c r="G1252">
        <v>57565</v>
      </c>
    </row>
    <row r="1253" spans="1:7" x14ac:dyDescent="0.25">
      <c r="A1253">
        <v>9678</v>
      </c>
      <c r="B1253" t="s">
        <v>317</v>
      </c>
      <c r="C1253" s="1">
        <v>44827</v>
      </c>
      <c r="D1253" s="1">
        <v>117974</v>
      </c>
      <c r="E1253">
        <v>116134</v>
      </c>
      <c r="F1253">
        <v>58345</v>
      </c>
      <c r="G1253">
        <v>57789</v>
      </c>
    </row>
    <row r="1254" spans="1:7" x14ac:dyDescent="0.25">
      <c r="A1254">
        <v>9679</v>
      </c>
      <c r="B1254" t="s">
        <v>318</v>
      </c>
      <c r="C1254" s="1">
        <v>43831</v>
      </c>
      <c r="D1254" s="1">
        <v>44111</v>
      </c>
      <c r="E1254">
        <v>161834</v>
      </c>
    </row>
    <row r="1255" spans="1:7" x14ac:dyDescent="0.25">
      <c r="A1255">
        <v>9679</v>
      </c>
      <c r="B1255" t="s">
        <v>318</v>
      </c>
      <c r="C1255" s="1">
        <v>44112</v>
      </c>
      <c r="D1255" s="1">
        <v>44433</v>
      </c>
      <c r="E1255">
        <v>162302</v>
      </c>
    </row>
    <row r="1256" spans="1:7" x14ac:dyDescent="0.25">
      <c r="A1256">
        <v>9679</v>
      </c>
      <c r="B1256" t="s">
        <v>318</v>
      </c>
      <c r="C1256" s="1">
        <v>44434</v>
      </c>
      <c r="D1256" s="1">
        <v>44826</v>
      </c>
      <c r="E1256">
        <v>162697</v>
      </c>
      <c r="F1256">
        <v>80908</v>
      </c>
      <c r="G1256">
        <v>81789</v>
      </c>
    </row>
    <row r="1257" spans="1:7" x14ac:dyDescent="0.25">
      <c r="A1257">
        <v>9679</v>
      </c>
      <c r="B1257" t="s">
        <v>318</v>
      </c>
      <c r="C1257" s="1">
        <v>44827</v>
      </c>
      <c r="D1257" s="1">
        <v>117974</v>
      </c>
      <c r="E1257">
        <v>163534</v>
      </c>
      <c r="F1257">
        <v>81233</v>
      </c>
      <c r="G1257">
        <v>82301</v>
      </c>
    </row>
    <row r="1258" spans="1:7" x14ac:dyDescent="0.25">
      <c r="A1258">
        <v>9761</v>
      </c>
      <c r="B1258" t="s">
        <v>319</v>
      </c>
      <c r="C1258" s="1">
        <v>43831</v>
      </c>
      <c r="D1258" s="1">
        <v>44111</v>
      </c>
      <c r="E1258">
        <v>295135</v>
      </c>
    </row>
    <row r="1259" spans="1:7" x14ac:dyDescent="0.25">
      <c r="A1259">
        <v>9761</v>
      </c>
      <c r="B1259" t="s">
        <v>319</v>
      </c>
      <c r="C1259" s="1">
        <v>44112</v>
      </c>
      <c r="D1259" s="1">
        <v>44433</v>
      </c>
      <c r="E1259">
        <v>296582</v>
      </c>
    </row>
    <row r="1260" spans="1:7" x14ac:dyDescent="0.25">
      <c r="A1260">
        <v>9761</v>
      </c>
      <c r="B1260" t="s">
        <v>319</v>
      </c>
      <c r="C1260" s="1">
        <v>44434</v>
      </c>
      <c r="D1260" s="1">
        <v>44826</v>
      </c>
      <c r="E1260">
        <v>295830</v>
      </c>
      <c r="F1260">
        <v>145786</v>
      </c>
      <c r="G1260">
        <v>150044</v>
      </c>
    </row>
    <row r="1261" spans="1:7" x14ac:dyDescent="0.25">
      <c r="A1261">
        <v>9761</v>
      </c>
      <c r="B1261" t="s">
        <v>319</v>
      </c>
      <c r="C1261" s="1">
        <v>44827</v>
      </c>
      <c r="D1261" s="1">
        <v>117974</v>
      </c>
      <c r="E1261">
        <v>296478</v>
      </c>
      <c r="F1261">
        <v>146234</v>
      </c>
      <c r="G1261">
        <v>150244</v>
      </c>
    </row>
    <row r="1262" spans="1:7" x14ac:dyDescent="0.25">
      <c r="A1262">
        <v>9762</v>
      </c>
      <c r="B1262" t="s">
        <v>320</v>
      </c>
      <c r="C1262" s="1">
        <v>43831</v>
      </c>
      <c r="D1262" s="1">
        <v>44111</v>
      </c>
      <c r="E1262">
        <v>43893</v>
      </c>
    </row>
    <row r="1263" spans="1:7" x14ac:dyDescent="0.25">
      <c r="A1263">
        <v>9762</v>
      </c>
      <c r="B1263" t="s">
        <v>320</v>
      </c>
      <c r="C1263" s="1">
        <v>44112</v>
      </c>
      <c r="D1263" s="1">
        <v>44433</v>
      </c>
      <c r="E1263">
        <v>44398</v>
      </c>
    </row>
    <row r="1264" spans="1:7" x14ac:dyDescent="0.25">
      <c r="A1264">
        <v>9762</v>
      </c>
      <c r="B1264" t="s">
        <v>320</v>
      </c>
      <c r="C1264" s="1">
        <v>44434</v>
      </c>
      <c r="D1264" s="1">
        <v>44826</v>
      </c>
      <c r="E1264">
        <v>44662</v>
      </c>
      <c r="F1264">
        <v>22005</v>
      </c>
      <c r="G1264">
        <v>22657</v>
      </c>
    </row>
    <row r="1265" spans="1:7" x14ac:dyDescent="0.25">
      <c r="A1265">
        <v>9762</v>
      </c>
      <c r="B1265" t="s">
        <v>320</v>
      </c>
      <c r="C1265" s="1">
        <v>44827</v>
      </c>
      <c r="D1265" s="1">
        <v>117974</v>
      </c>
      <c r="E1265">
        <v>45118</v>
      </c>
      <c r="F1265">
        <v>22229</v>
      </c>
      <c r="G1265">
        <v>22889</v>
      </c>
    </row>
    <row r="1266" spans="1:7" x14ac:dyDescent="0.25">
      <c r="A1266">
        <v>9763</v>
      </c>
      <c r="B1266" t="s">
        <v>321</v>
      </c>
      <c r="C1266" s="1">
        <v>43831</v>
      </c>
      <c r="D1266" s="1">
        <v>44111</v>
      </c>
      <c r="E1266">
        <v>68907</v>
      </c>
    </row>
    <row r="1267" spans="1:7" x14ac:dyDescent="0.25">
      <c r="A1267">
        <v>9763</v>
      </c>
      <c r="B1267" t="s">
        <v>321</v>
      </c>
      <c r="C1267" s="1">
        <v>44112</v>
      </c>
      <c r="D1267" s="1">
        <v>44433</v>
      </c>
      <c r="E1267">
        <v>69151</v>
      </c>
    </row>
    <row r="1268" spans="1:7" x14ac:dyDescent="0.25">
      <c r="A1268">
        <v>9763</v>
      </c>
      <c r="B1268" t="s">
        <v>321</v>
      </c>
      <c r="C1268" s="1">
        <v>44434</v>
      </c>
      <c r="D1268" s="1">
        <v>44826</v>
      </c>
      <c r="E1268">
        <v>68940</v>
      </c>
      <c r="F1268">
        <v>34140</v>
      </c>
      <c r="G1268">
        <v>34800</v>
      </c>
    </row>
    <row r="1269" spans="1:7" x14ac:dyDescent="0.25">
      <c r="A1269">
        <v>9763</v>
      </c>
      <c r="B1269" t="s">
        <v>321</v>
      </c>
      <c r="C1269" s="1">
        <v>44827</v>
      </c>
      <c r="D1269" s="1">
        <v>117974</v>
      </c>
      <c r="E1269">
        <v>69053</v>
      </c>
      <c r="F1269">
        <v>34240</v>
      </c>
      <c r="G1269">
        <v>34813</v>
      </c>
    </row>
    <row r="1270" spans="1:7" x14ac:dyDescent="0.25">
      <c r="A1270">
        <v>9764</v>
      </c>
      <c r="B1270" t="s">
        <v>322</v>
      </c>
      <c r="C1270" s="1">
        <v>43831</v>
      </c>
      <c r="D1270" s="1">
        <v>44111</v>
      </c>
      <c r="E1270">
        <v>43837</v>
      </c>
    </row>
    <row r="1271" spans="1:7" x14ac:dyDescent="0.25">
      <c r="A1271">
        <v>9764</v>
      </c>
      <c r="B1271" t="s">
        <v>322</v>
      </c>
      <c r="C1271" s="1">
        <v>44112</v>
      </c>
      <c r="D1271" s="1">
        <v>44433</v>
      </c>
      <c r="E1271">
        <v>44100</v>
      </c>
    </row>
    <row r="1272" spans="1:7" x14ac:dyDescent="0.25">
      <c r="A1272">
        <v>9764</v>
      </c>
      <c r="B1272" t="s">
        <v>322</v>
      </c>
      <c r="C1272" s="1">
        <v>44434</v>
      </c>
      <c r="D1272" s="1">
        <v>44826</v>
      </c>
      <c r="E1272">
        <v>44360</v>
      </c>
      <c r="F1272">
        <v>21996</v>
      </c>
      <c r="G1272">
        <v>22364</v>
      </c>
    </row>
    <row r="1273" spans="1:7" x14ac:dyDescent="0.25">
      <c r="A1273">
        <v>9764</v>
      </c>
      <c r="B1273" t="s">
        <v>322</v>
      </c>
      <c r="C1273" s="1">
        <v>44827</v>
      </c>
      <c r="D1273" s="1">
        <v>117974</v>
      </c>
      <c r="E1273">
        <v>44721</v>
      </c>
      <c r="F1273">
        <v>22195</v>
      </c>
      <c r="G1273">
        <v>22526</v>
      </c>
    </row>
    <row r="1274" spans="1:7" x14ac:dyDescent="0.25">
      <c r="A1274">
        <v>9771</v>
      </c>
      <c r="B1274" t="s">
        <v>323</v>
      </c>
      <c r="C1274" s="1">
        <v>43831</v>
      </c>
      <c r="D1274" s="1">
        <v>44111</v>
      </c>
      <c r="E1274">
        <v>133596</v>
      </c>
    </row>
    <row r="1275" spans="1:7" x14ac:dyDescent="0.25">
      <c r="A1275">
        <v>9771</v>
      </c>
      <c r="B1275" t="s">
        <v>323</v>
      </c>
      <c r="C1275" s="1">
        <v>44112</v>
      </c>
      <c r="D1275" s="1">
        <v>44433</v>
      </c>
      <c r="E1275">
        <v>134655</v>
      </c>
    </row>
    <row r="1276" spans="1:7" x14ac:dyDescent="0.25">
      <c r="A1276">
        <v>9771</v>
      </c>
      <c r="B1276" t="s">
        <v>323</v>
      </c>
      <c r="C1276" s="1">
        <v>44434</v>
      </c>
      <c r="D1276" s="1">
        <v>44826</v>
      </c>
      <c r="E1276">
        <v>135024</v>
      </c>
      <c r="F1276">
        <v>67349</v>
      </c>
      <c r="G1276">
        <v>67675</v>
      </c>
    </row>
    <row r="1277" spans="1:7" x14ac:dyDescent="0.25">
      <c r="A1277">
        <v>9771</v>
      </c>
      <c r="B1277" t="s">
        <v>323</v>
      </c>
      <c r="C1277" s="1">
        <v>44827</v>
      </c>
      <c r="D1277" s="1">
        <v>117974</v>
      </c>
      <c r="E1277">
        <v>135538</v>
      </c>
      <c r="F1277">
        <v>67418</v>
      </c>
      <c r="G1277">
        <v>68120</v>
      </c>
    </row>
    <row r="1278" spans="1:7" x14ac:dyDescent="0.25">
      <c r="A1278">
        <v>9772</v>
      </c>
      <c r="B1278" t="s">
        <v>324</v>
      </c>
      <c r="C1278" s="1">
        <v>43831</v>
      </c>
      <c r="D1278" s="1">
        <v>44111</v>
      </c>
      <c r="E1278">
        <v>251534</v>
      </c>
    </row>
    <row r="1279" spans="1:7" x14ac:dyDescent="0.25">
      <c r="A1279">
        <v>9772</v>
      </c>
      <c r="B1279" t="s">
        <v>324</v>
      </c>
      <c r="C1279" s="1">
        <v>44112</v>
      </c>
      <c r="D1279" s="1">
        <v>44433</v>
      </c>
      <c r="E1279">
        <v>253468</v>
      </c>
    </row>
    <row r="1280" spans="1:7" x14ac:dyDescent="0.25">
      <c r="A1280">
        <v>9772</v>
      </c>
      <c r="B1280" t="s">
        <v>324</v>
      </c>
      <c r="C1280" s="1">
        <v>44434</v>
      </c>
      <c r="D1280" s="1">
        <v>44826</v>
      </c>
      <c r="E1280">
        <v>255900</v>
      </c>
      <c r="F1280">
        <v>126953</v>
      </c>
      <c r="G1280">
        <v>128947</v>
      </c>
    </row>
    <row r="1281" spans="1:7" x14ac:dyDescent="0.25">
      <c r="A1281">
        <v>9772</v>
      </c>
      <c r="B1281" t="s">
        <v>324</v>
      </c>
      <c r="C1281" s="1">
        <v>44827</v>
      </c>
      <c r="D1281" s="1">
        <v>117974</v>
      </c>
      <c r="E1281">
        <v>257790</v>
      </c>
      <c r="F1281">
        <v>127849</v>
      </c>
      <c r="G1281">
        <v>129941</v>
      </c>
    </row>
    <row r="1282" spans="1:7" x14ac:dyDescent="0.25">
      <c r="A1282">
        <v>9773</v>
      </c>
      <c r="B1282" t="s">
        <v>325</v>
      </c>
      <c r="C1282" s="1">
        <v>43831</v>
      </c>
      <c r="D1282" s="1">
        <v>44111</v>
      </c>
      <c r="E1282">
        <v>96021</v>
      </c>
    </row>
    <row r="1283" spans="1:7" x14ac:dyDescent="0.25">
      <c r="A1283">
        <v>9773</v>
      </c>
      <c r="B1283" t="s">
        <v>325</v>
      </c>
      <c r="C1283" s="1">
        <v>44112</v>
      </c>
      <c r="D1283" s="1">
        <v>44433</v>
      </c>
      <c r="E1283">
        <v>96562</v>
      </c>
    </row>
    <row r="1284" spans="1:7" x14ac:dyDescent="0.25">
      <c r="A1284">
        <v>9773</v>
      </c>
      <c r="B1284" t="s">
        <v>325</v>
      </c>
      <c r="C1284" s="1">
        <v>44434</v>
      </c>
      <c r="D1284" s="1">
        <v>44826</v>
      </c>
      <c r="E1284">
        <v>97172</v>
      </c>
      <c r="F1284">
        <v>48764</v>
      </c>
      <c r="G1284">
        <v>48408</v>
      </c>
    </row>
    <row r="1285" spans="1:7" x14ac:dyDescent="0.25">
      <c r="A1285">
        <v>9773</v>
      </c>
      <c r="B1285" t="s">
        <v>325</v>
      </c>
      <c r="C1285" s="1">
        <v>44827</v>
      </c>
      <c r="D1285" s="1">
        <v>117974</v>
      </c>
      <c r="E1285">
        <v>97985</v>
      </c>
      <c r="F1285">
        <v>49123</v>
      </c>
      <c r="G1285">
        <v>48862</v>
      </c>
    </row>
    <row r="1286" spans="1:7" x14ac:dyDescent="0.25">
      <c r="A1286">
        <v>9774</v>
      </c>
      <c r="B1286" t="s">
        <v>326</v>
      </c>
      <c r="C1286" s="1">
        <v>43831</v>
      </c>
      <c r="D1286" s="1">
        <v>44111</v>
      </c>
      <c r="E1286">
        <v>125747</v>
      </c>
    </row>
    <row r="1287" spans="1:7" x14ac:dyDescent="0.25">
      <c r="A1287">
        <v>9774</v>
      </c>
      <c r="B1287" t="s">
        <v>326</v>
      </c>
      <c r="C1287" s="1">
        <v>44112</v>
      </c>
      <c r="D1287" s="1">
        <v>44433</v>
      </c>
      <c r="E1287">
        <v>127027</v>
      </c>
    </row>
    <row r="1288" spans="1:7" x14ac:dyDescent="0.25">
      <c r="A1288">
        <v>9774</v>
      </c>
      <c r="B1288" t="s">
        <v>326</v>
      </c>
      <c r="C1288" s="1">
        <v>44434</v>
      </c>
      <c r="D1288" s="1">
        <v>44826</v>
      </c>
      <c r="E1288">
        <v>127342</v>
      </c>
      <c r="F1288">
        <v>64254</v>
      </c>
      <c r="G1288">
        <v>63088</v>
      </c>
    </row>
    <row r="1289" spans="1:7" x14ac:dyDescent="0.25">
      <c r="A1289">
        <v>9774</v>
      </c>
      <c r="B1289" t="s">
        <v>326</v>
      </c>
      <c r="C1289" s="1">
        <v>44827</v>
      </c>
      <c r="D1289" s="1">
        <v>117974</v>
      </c>
      <c r="E1289">
        <v>128436</v>
      </c>
      <c r="F1289">
        <v>64872</v>
      </c>
      <c r="G1289">
        <v>63564</v>
      </c>
    </row>
    <row r="1290" spans="1:7" x14ac:dyDescent="0.25">
      <c r="A1290">
        <v>9775</v>
      </c>
      <c r="B1290" t="s">
        <v>327</v>
      </c>
      <c r="C1290" s="1">
        <v>43831</v>
      </c>
      <c r="D1290" s="1">
        <v>44111</v>
      </c>
      <c r="E1290">
        <v>174200</v>
      </c>
    </row>
    <row r="1291" spans="1:7" x14ac:dyDescent="0.25">
      <c r="A1291">
        <v>9775</v>
      </c>
      <c r="B1291" t="s">
        <v>327</v>
      </c>
      <c r="C1291" s="1">
        <v>44112</v>
      </c>
      <c r="D1291" s="1">
        <v>44433</v>
      </c>
      <c r="E1291">
        <v>175204</v>
      </c>
    </row>
    <row r="1292" spans="1:7" x14ac:dyDescent="0.25">
      <c r="A1292">
        <v>9775</v>
      </c>
      <c r="B1292" t="s">
        <v>327</v>
      </c>
      <c r="C1292" s="1">
        <v>44434</v>
      </c>
      <c r="D1292" s="1">
        <v>44826</v>
      </c>
      <c r="E1292">
        <v>175823</v>
      </c>
      <c r="F1292">
        <v>87031</v>
      </c>
      <c r="G1292">
        <v>88792</v>
      </c>
    </row>
    <row r="1293" spans="1:7" x14ac:dyDescent="0.25">
      <c r="A1293">
        <v>9775</v>
      </c>
      <c r="B1293" t="s">
        <v>327</v>
      </c>
      <c r="C1293" s="1">
        <v>44827</v>
      </c>
      <c r="D1293" s="1">
        <v>117974</v>
      </c>
      <c r="E1293">
        <v>177330</v>
      </c>
      <c r="F1293">
        <v>88007</v>
      </c>
      <c r="G1293">
        <v>89323</v>
      </c>
    </row>
    <row r="1294" spans="1:7" x14ac:dyDescent="0.25">
      <c r="A1294">
        <v>9776</v>
      </c>
      <c r="B1294" t="s">
        <v>328</v>
      </c>
      <c r="C1294" s="1">
        <v>43831</v>
      </c>
      <c r="D1294" s="1">
        <v>44111</v>
      </c>
      <c r="E1294">
        <v>81669</v>
      </c>
    </row>
    <row r="1295" spans="1:7" x14ac:dyDescent="0.25">
      <c r="A1295">
        <v>9776</v>
      </c>
      <c r="B1295" t="s">
        <v>328</v>
      </c>
      <c r="C1295" s="1">
        <v>44112</v>
      </c>
      <c r="D1295" s="1">
        <v>44433</v>
      </c>
      <c r="E1295">
        <v>81981</v>
      </c>
    </row>
    <row r="1296" spans="1:7" x14ac:dyDescent="0.25">
      <c r="A1296">
        <v>9776</v>
      </c>
      <c r="B1296" t="s">
        <v>328</v>
      </c>
      <c r="C1296" s="1">
        <v>44434</v>
      </c>
      <c r="D1296" s="1">
        <v>44826</v>
      </c>
      <c r="E1296">
        <v>82085</v>
      </c>
      <c r="F1296">
        <v>40472</v>
      </c>
      <c r="G1296">
        <v>41613</v>
      </c>
    </row>
    <row r="1297" spans="1:7" x14ac:dyDescent="0.25">
      <c r="A1297">
        <v>9776</v>
      </c>
      <c r="B1297" t="s">
        <v>328</v>
      </c>
      <c r="C1297" s="1">
        <v>44827</v>
      </c>
      <c r="D1297" s="1">
        <v>117974</v>
      </c>
      <c r="E1297">
        <v>82330</v>
      </c>
      <c r="F1297">
        <v>40613</v>
      </c>
      <c r="G1297">
        <v>41717</v>
      </c>
    </row>
    <row r="1298" spans="1:7" x14ac:dyDescent="0.25">
      <c r="A1298">
        <v>9777</v>
      </c>
      <c r="B1298" t="s">
        <v>329</v>
      </c>
      <c r="C1298" s="1">
        <v>43831</v>
      </c>
      <c r="D1298" s="1">
        <v>44111</v>
      </c>
      <c r="E1298">
        <v>140316</v>
      </c>
    </row>
    <row r="1299" spans="1:7" x14ac:dyDescent="0.25">
      <c r="A1299">
        <v>9777</v>
      </c>
      <c r="B1299" t="s">
        <v>329</v>
      </c>
      <c r="C1299" s="1">
        <v>44112</v>
      </c>
      <c r="D1299" s="1">
        <v>44433</v>
      </c>
      <c r="E1299">
        <v>141182</v>
      </c>
    </row>
    <row r="1300" spans="1:7" x14ac:dyDescent="0.25">
      <c r="A1300">
        <v>9777</v>
      </c>
      <c r="B1300" t="s">
        <v>329</v>
      </c>
      <c r="C1300" s="1">
        <v>44434</v>
      </c>
      <c r="D1300" s="1">
        <v>44826</v>
      </c>
      <c r="E1300">
        <v>141907</v>
      </c>
      <c r="F1300">
        <v>70780</v>
      </c>
      <c r="G1300">
        <v>71127</v>
      </c>
    </row>
    <row r="1301" spans="1:7" x14ac:dyDescent="0.25">
      <c r="A1301">
        <v>9777</v>
      </c>
      <c r="B1301" t="s">
        <v>329</v>
      </c>
      <c r="C1301" s="1">
        <v>44827</v>
      </c>
      <c r="D1301" s="1">
        <v>117974</v>
      </c>
      <c r="E1301">
        <v>143236</v>
      </c>
      <c r="F1301">
        <v>71432</v>
      </c>
      <c r="G1301">
        <v>71804</v>
      </c>
    </row>
    <row r="1302" spans="1:7" x14ac:dyDescent="0.25">
      <c r="A1302">
        <v>9778</v>
      </c>
      <c r="B1302" t="s">
        <v>330</v>
      </c>
      <c r="C1302" s="1">
        <v>43831</v>
      </c>
      <c r="D1302" s="1">
        <v>44111</v>
      </c>
      <c r="E1302">
        <v>144041</v>
      </c>
    </row>
    <row r="1303" spans="1:7" x14ac:dyDescent="0.25">
      <c r="A1303">
        <v>9778</v>
      </c>
      <c r="B1303" t="s">
        <v>330</v>
      </c>
      <c r="C1303" s="1">
        <v>44112</v>
      </c>
      <c r="D1303" s="1">
        <v>44433</v>
      </c>
      <c r="E1303">
        <v>145341</v>
      </c>
    </row>
    <row r="1304" spans="1:7" x14ac:dyDescent="0.25">
      <c r="A1304">
        <v>9778</v>
      </c>
      <c r="B1304" t="s">
        <v>330</v>
      </c>
      <c r="C1304" s="1">
        <v>44434</v>
      </c>
      <c r="D1304" s="1">
        <v>44826</v>
      </c>
      <c r="E1304">
        <v>146164</v>
      </c>
      <c r="F1304">
        <v>73644</v>
      </c>
      <c r="G1304">
        <v>72520</v>
      </c>
    </row>
    <row r="1305" spans="1:7" x14ac:dyDescent="0.25">
      <c r="A1305">
        <v>9778</v>
      </c>
      <c r="B1305" t="s">
        <v>330</v>
      </c>
      <c r="C1305" s="1">
        <v>44827</v>
      </c>
      <c r="D1305" s="1">
        <v>117974</v>
      </c>
      <c r="E1305">
        <v>147776</v>
      </c>
      <c r="F1305">
        <v>74634</v>
      </c>
      <c r="G1305">
        <v>73142</v>
      </c>
    </row>
    <row r="1306" spans="1:7" x14ac:dyDescent="0.25">
      <c r="A1306">
        <v>9779</v>
      </c>
      <c r="B1306" t="s">
        <v>331</v>
      </c>
      <c r="C1306" s="1">
        <v>43831</v>
      </c>
      <c r="D1306" s="1">
        <v>44111</v>
      </c>
      <c r="E1306">
        <v>133496</v>
      </c>
    </row>
    <row r="1307" spans="1:7" x14ac:dyDescent="0.25">
      <c r="A1307">
        <v>9779</v>
      </c>
      <c r="B1307" t="s">
        <v>331</v>
      </c>
      <c r="C1307" s="1">
        <v>44112</v>
      </c>
      <c r="D1307" s="1">
        <v>44433</v>
      </c>
      <c r="E1307">
        <v>133783</v>
      </c>
    </row>
    <row r="1308" spans="1:7" x14ac:dyDescent="0.25">
      <c r="A1308">
        <v>9779</v>
      </c>
      <c r="B1308" t="s">
        <v>331</v>
      </c>
      <c r="C1308" s="1">
        <v>44434</v>
      </c>
      <c r="D1308" s="1">
        <v>44826</v>
      </c>
      <c r="E1308">
        <v>134324</v>
      </c>
      <c r="F1308">
        <v>68098</v>
      </c>
      <c r="G1308">
        <v>66226</v>
      </c>
    </row>
    <row r="1309" spans="1:7" x14ac:dyDescent="0.25">
      <c r="A1309">
        <v>9779</v>
      </c>
      <c r="B1309" t="s">
        <v>331</v>
      </c>
      <c r="C1309" s="1">
        <v>44827</v>
      </c>
      <c r="D1309" s="1">
        <v>117974</v>
      </c>
      <c r="E1309">
        <v>134986</v>
      </c>
      <c r="F1309">
        <v>68516</v>
      </c>
      <c r="G1309">
        <v>66470</v>
      </c>
    </row>
    <row r="1310" spans="1:7" x14ac:dyDescent="0.25">
      <c r="A1310">
        <v>9780</v>
      </c>
      <c r="B1310" t="s">
        <v>332</v>
      </c>
      <c r="C1310" s="1">
        <v>43831</v>
      </c>
      <c r="D1310" s="1">
        <v>44111</v>
      </c>
      <c r="E1310">
        <v>155362</v>
      </c>
    </row>
    <row r="1311" spans="1:7" x14ac:dyDescent="0.25">
      <c r="A1311">
        <v>9780</v>
      </c>
      <c r="B1311" t="s">
        <v>332</v>
      </c>
      <c r="C1311" s="1">
        <v>44112</v>
      </c>
      <c r="D1311" s="1">
        <v>44433</v>
      </c>
      <c r="E1311">
        <v>156008</v>
      </c>
    </row>
    <row r="1312" spans="1:7" x14ac:dyDescent="0.25">
      <c r="A1312">
        <v>9780</v>
      </c>
      <c r="B1312" t="s">
        <v>332</v>
      </c>
      <c r="C1312" s="1">
        <v>44434</v>
      </c>
      <c r="D1312" s="1">
        <v>44826</v>
      </c>
      <c r="E1312">
        <v>156308</v>
      </c>
      <c r="F1312">
        <v>76957</v>
      </c>
      <c r="G1312">
        <v>79351</v>
      </c>
    </row>
    <row r="1313" spans="1:7" x14ac:dyDescent="0.25">
      <c r="A1313">
        <v>9780</v>
      </c>
      <c r="B1313" t="s">
        <v>332</v>
      </c>
      <c r="C1313" s="1">
        <v>44827</v>
      </c>
      <c r="D1313" s="1">
        <v>117974</v>
      </c>
      <c r="E1313">
        <v>157202</v>
      </c>
      <c r="F1313">
        <v>77429</v>
      </c>
      <c r="G1313">
        <v>79773</v>
      </c>
    </row>
    <row r="1314" spans="1:7" x14ac:dyDescent="0.25">
      <c r="A1314">
        <v>10</v>
      </c>
      <c r="B1314" t="s">
        <v>333</v>
      </c>
      <c r="C1314" s="1">
        <v>43831</v>
      </c>
      <c r="D1314" s="1">
        <v>44111</v>
      </c>
      <c r="E1314">
        <v>990509</v>
      </c>
    </row>
    <row r="1315" spans="1:7" x14ac:dyDescent="0.25">
      <c r="A1315">
        <v>10</v>
      </c>
      <c r="B1315" t="s">
        <v>333</v>
      </c>
      <c r="C1315" s="1">
        <v>44112</v>
      </c>
      <c r="D1315" s="1">
        <v>44433</v>
      </c>
      <c r="E1315">
        <v>986887</v>
      </c>
    </row>
    <row r="1316" spans="1:7" x14ac:dyDescent="0.25">
      <c r="A1316">
        <v>10</v>
      </c>
      <c r="B1316" t="s">
        <v>333</v>
      </c>
      <c r="C1316" s="1">
        <v>44434</v>
      </c>
      <c r="D1316" s="1">
        <v>44826</v>
      </c>
      <c r="E1316">
        <v>983991</v>
      </c>
      <c r="F1316">
        <v>483001</v>
      </c>
      <c r="G1316">
        <v>500990</v>
      </c>
    </row>
    <row r="1317" spans="1:7" x14ac:dyDescent="0.25">
      <c r="A1317">
        <v>10</v>
      </c>
      <c r="B1317" t="s">
        <v>333</v>
      </c>
      <c r="C1317" s="1">
        <v>44827</v>
      </c>
      <c r="D1317" s="1">
        <v>117974</v>
      </c>
      <c r="E1317">
        <v>982348</v>
      </c>
      <c r="F1317">
        <v>482439</v>
      </c>
      <c r="G1317">
        <v>499909</v>
      </c>
    </row>
    <row r="1318" spans="1:7" x14ac:dyDescent="0.25">
      <c r="A1318">
        <v>10041</v>
      </c>
      <c r="B1318" t="s">
        <v>334</v>
      </c>
      <c r="C1318" s="1">
        <v>43831</v>
      </c>
      <c r="D1318" s="1">
        <v>44111</v>
      </c>
      <c r="E1318">
        <v>329708</v>
      </c>
    </row>
    <row r="1319" spans="1:7" x14ac:dyDescent="0.25">
      <c r="A1319">
        <v>10041</v>
      </c>
      <c r="B1319" t="s">
        <v>334</v>
      </c>
      <c r="C1319" s="1">
        <v>44112</v>
      </c>
      <c r="D1319" s="1">
        <v>44433</v>
      </c>
      <c r="E1319">
        <v>328714</v>
      </c>
    </row>
    <row r="1320" spans="1:7" x14ac:dyDescent="0.25">
      <c r="A1320">
        <v>10041</v>
      </c>
      <c r="B1320" t="s">
        <v>334</v>
      </c>
      <c r="C1320" s="1">
        <v>44434</v>
      </c>
      <c r="D1320" s="1">
        <v>44826</v>
      </c>
      <c r="E1320">
        <v>327502</v>
      </c>
      <c r="F1320">
        <v>161076</v>
      </c>
      <c r="G1320">
        <v>166426</v>
      </c>
    </row>
    <row r="1321" spans="1:7" x14ac:dyDescent="0.25">
      <c r="A1321">
        <v>10041</v>
      </c>
      <c r="B1321" t="s">
        <v>334</v>
      </c>
      <c r="C1321" s="1">
        <v>44827</v>
      </c>
      <c r="D1321" s="1">
        <v>117974</v>
      </c>
      <c r="E1321">
        <v>327284</v>
      </c>
      <c r="F1321">
        <v>161143</v>
      </c>
      <c r="G1321">
        <v>166141</v>
      </c>
    </row>
    <row r="1322" spans="1:7" x14ac:dyDescent="0.25">
      <c r="A1322">
        <v>10042</v>
      </c>
      <c r="B1322" t="s">
        <v>335</v>
      </c>
      <c r="C1322" s="1">
        <v>43831</v>
      </c>
      <c r="D1322" s="1">
        <v>44111</v>
      </c>
      <c r="E1322">
        <v>103366</v>
      </c>
    </row>
    <row r="1323" spans="1:7" x14ac:dyDescent="0.25">
      <c r="A1323">
        <v>10042</v>
      </c>
      <c r="B1323" t="s">
        <v>335</v>
      </c>
      <c r="C1323" s="1">
        <v>44112</v>
      </c>
      <c r="D1323" s="1">
        <v>44433</v>
      </c>
      <c r="E1323">
        <v>103243</v>
      </c>
    </row>
    <row r="1324" spans="1:7" x14ac:dyDescent="0.25">
      <c r="A1324">
        <v>10042</v>
      </c>
      <c r="B1324" t="s">
        <v>335</v>
      </c>
      <c r="C1324" s="1">
        <v>44434</v>
      </c>
      <c r="D1324" s="1">
        <v>44826</v>
      </c>
      <c r="E1324">
        <v>103471</v>
      </c>
      <c r="F1324">
        <v>51096</v>
      </c>
      <c r="G1324">
        <v>52375</v>
      </c>
    </row>
    <row r="1325" spans="1:7" x14ac:dyDescent="0.25">
      <c r="A1325">
        <v>10042</v>
      </c>
      <c r="B1325" t="s">
        <v>335</v>
      </c>
      <c r="C1325" s="1">
        <v>44827</v>
      </c>
      <c r="D1325" s="1">
        <v>117974</v>
      </c>
      <c r="E1325">
        <v>103426</v>
      </c>
      <c r="F1325">
        <v>51089</v>
      </c>
      <c r="G1325">
        <v>52337</v>
      </c>
    </row>
    <row r="1326" spans="1:7" x14ac:dyDescent="0.25">
      <c r="A1326">
        <v>10043</v>
      </c>
      <c r="B1326" t="s">
        <v>336</v>
      </c>
      <c r="C1326" s="1">
        <v>43831</v>
      </c>
      <c r="D1326" s="1">
        <v>44111</v>
      </c>
      <c r="E1326">
        <v>132206</v>
      </c>
    </row>
    <row r="1327" spans="1:7" x14ac:dyDescent="0.25">
      <c r="A1327">
        <v>10043</v>
      </c>
      <c r="B1327" t="s">
        <v>336</v>
      </c>
      <c r="C1327" s="1">
        <v>44112</v>
      </c>
      <c r="D1327" s="1">
        <v>44433</v>
      </c>
      <c r="E1327">
        <v>131408</v>
      </c>
    </row>
    <row r="1328" spans="1:7" x14ac:dyDescent="0.25">
      <c r="A1328">
        <v>10043</v>
      </c>
      <c r="B1328" t="s">
        <v>336</v>
      </c>
      <c r="C1328" s="1">
        <v>44434</v>
      </c>
      <c r="D1328" s="1">
        <v>44826</v>
      </c>
      <c r="E1328">
        <v>131172</v>
      </c>
      <c r="F1328">
        <v>64441</v>
      </c>
      <c r="G1328">
        <v>66731</v>
      </c>
    </row>
    <row r="1329" spans="1:7" x14ac:dyDescent="0.25">
      <c r="A1329">
        <v>10043</v>
      </c>
      <c r="B1329" t="s">
        <v>336</v>
      </c>
      <c r="C1329" s="1">
        <v>44827</v>
      </c>
      <c r="D1329" s="1">
        <v>117974</v>
      </c>
      <c r="E1329">
        <v>130847</v>
      </c>
      <c r="F1329">
        <v>64423</v>
      </c>
      <c r="G1329">
        <v>66424</v>
      </c>
    </row>
    <row r="1330" spans="1:7" x14ac:dyDescent="0.25">
      <c r="A1330">
        <v>10044</v>
      </c>
      <c r="B1330" t="s">
        <v>337</v>
      </c>
      <c r="C1330" s="1">
        <v>43831</v>
      </c>
      <c r="D1330" s="1">
        <v>44111</v>
      </c>
      <c r="E1330">
        <v>195201</v>
      </c>
    </row>
    <row r="1331" spans="1:7" x14ac:dyDescent="0.25">
      <c r="A1331">
        <v>10044</v>
      </c>
      <c r="B1331" t="s">
        <v>337</v>
      </c>
      <c r="C1331" s="1">
        <v>44112</v>
      </c>
      <c r="D1331" s="1">
        <v>44433</v>
      </c>
      <c r="E1331">
        <v>194319</v>
      </c>
    </row>
    <row r="1332" spans="1:7" x14ac:dyDescent="0.25">
      <c r="A1332">
        <v>10044</v>
      </c>
      <c r="B1332" t="s">
        <v>337</v>
      </c>
      <c r="C1332" s="1">
        <v>44434</v>
      </c>
      <c r="D1332" s="1">
        <v>44826</v>
      </c>
      <c r="E1332">
        <v>193732</v>
      </c>
      <c r="F1332">
        <v>94934</v>
      </c>
      <c r="G1332">
        <v>98798</v>
      </c>
    </row>
    <row r="1333" spans="1:7" x14ac:dyDescent="0.25">
      <c r="A1333">
        <v>10044</v>
      </c>
      <c r="B1333" t="s">
        <v>337</v>
      </c>
      <c r="C1333" s="1">
        <v>44827</v>
      </c>
      <c r="D1333" s="1">
        <v>117974</v>
      </c>
      <c r="E1333">
        <v>193661</v>
      </c>
      <c r="F1333">
        <v>94857</v>
      </c>
      <c r="G1333">
        <v>98804</v>
      </c>
    </row>
    <row r="1334" spans="1:7" x14ac:dyDescent="0.25">
      <c r="A1334">
        <v>10045</v>
      </c>
      <c r="B1334" t="s">
        <v>338</v>
      </c>
      <c r="C1334" s="1">
        <v>43831</v>
      </c>
      <c r="D1334" s="1">
        <v>44111</v>
      </c>
      <c r="E1334">
        <v>142631</v>
      </c>
    </row>
    <row r="1335" spans="1:7" x14ac:dyDescent="0.25">
      <c r="A1335">
        <v>10045</v>
      </c>
      <c r="B1335" t="s">
        <v>338</v>
      </c>
      <c r="C1335" s="1">
        <v>44112</v>
      </c>
      <c r="D1335" s="1">
        <v>44433</v>
      </c>
      <c r="E1335">
        <v>142196</v>
      </c>
    </row>
    <row r="1336" spans="1:7" x14ac:dyDescent="0.25">
      <c r="A1336">
        <v>10045</v>
      </c>
      <c r="B1336" t="s">
        <v>338</v>
      </c>
      <c r="C1336" s="1">
        <v>44434</v>
      </c>
      <c r="D1336" s="1">
        <v>44826</v>
      </c>
      <c r="E1336">
        <v>141656</v>
      </c>
      <c r="F1336">
        <v>68857</v>
      </c>
      <c r="G1336">
        <v>72799</v>
      </c>
    </row>
    <row r="1337" spans="1:7" x14ac:dyDescent="0.25">
      <c r="A1337">
        <v>10045</v>
      </c>
      <c r="B1337" t="s">
        <v>338</v>
      </c>
      <c r="C1337" s="1">
        <v>44827</v>
      </c>
      <c r="D1337" s="1">
        <v>117974</v>
      </c>
      <c r="E1337">
        <v>140960</v>
      </c>
      <c r="F1337">
        <v>68529</v>
      </c>
      <c r="G1337">
        <v>72431</v>
      </c>
    </row>
    <row r="1338" spans="1:7" x14ac:dyDescent="0.25">
      <c r="A1338">
        <v>10046</v>
      </c>
      <c r="B1338" t="s">
        <v>339</v>
      </c>
      <c r="C1338" s="1">
        <v>43831</v>
      </c>
      <c r="D1338" s="1">
        <v>44111</v>
      </c>
      <c r="E1338">
        <v>87397</v>
      </c>
    </row>
    <row r="1339" spans="1:7" x14ac:dyDescent="0.25">
      <c r="A1339">
        <v>10046</v>
      </c>
      <c r="B1339" t="s">
        <v>339</v>
      </c>
      <c r="C1339" s="1">
        <v>44112</v>
      </c>
      <c r="D1339" s="1">
        <v>44433</v>
      </c>
      <c r="E1339">
        <v>87007</v>
      </c>
    </row>
    <row r="1340" spans="1:7" x14ac:dyDescent="0.25">
      <c r="A1340">
        <v>10046</v>
      </c>
      <c r="B1340" t="s">
        <v>339</v>
      </c>
      <c r="C1340" s="1">
        <v>44434</v>
      </c>
      <c r="D1340" s="1">
        <v>44826</v>
      </c>
      <c r="E1340">
        <v>86458</v>
      </c>
      <c r="F1340">
        <v>42597</v>
      </c>
      <c r="G1340">
        <v>43861</v>
      </c>
    </row>
    <row r="1341" spans="1:7" x14ac:dyDescent="0.25">
      <c r="A1341">
        <v>10046</v>
      </c>
      <c r="B1341" t="s">
        <v>339</v>
      </c>
      <c r="C1341" s="1">
        <v>44827</v>
      </c>
      <c r="D1341" s="1">
        <v>117974</v>
      </c>
      <c r="E1341">
        <v>86170</v>
      </c>
      <c r="F1341">
        <v>42398</v>
      </c>
      <c r="G1341">
        <v>43772</v>
      </c>
    </row>
    <row r="1342" spans="1:7" x14ac:dyDescent="0.25">
      <c r="A1342">
        <v>11</v>
      </c>
      <c r="B1342" t="s">
        <v>340</v>
      </c>
      <c r="C1342" s="1">
        <v>43831</v>
      </c>
      <c r="D1342" s="1">
        <v>44111</v>
      </c>
      <c r="E1342">
        <v>3748148</v>
      </c>
    </row>
    <row r="1343" spans="1:7" x14ac:dyDescent="0.25">
      <c r="A1343">
        <v>11</v>
      </c>
      <c r="B1343" t="s">
        <v>340</v>
      </c>
      <c r="C1343" s="1">
        <v>44112</v>
      </c>
      <c r="D1343" s="1">
        <v>44433</v>
      </c>
      <c r="E1343">
        <v>3669491</v>
      </c>
    </row>
    <row r="1344" spans="1:7" x14ac:dyDescent="0.25">
      <c r="A1344">
        <v>11</v>
      </c>
      <c r="B1344" t="s">
        <v>340</v>
      </c>
      <c r="C1344" s="1">
        <v>44434</v>
      </c>
      <c r="D1344" s="1">
        <v>44826</v>
      </c>
      <c r="E1344">
        <v>3664088</v>
      </c>
      <c r="F1344">
        <v>1802038</v>
      </c>
      <c r="G1344">
        <v>1862050</v>
      </c>
    </row>
    <row r="1345" spans="1:7" x14ac:dyDescent="0.25">
      <c r="A1345">
        <v>11</v>
      </c>
      <c r="B1345" t="s">
        <v>340</v>
      </c>
      <c r="C1345" s="1">
        <v>44827</v>
      </c>
      <c r="D1345" s="1">
        <v>117974</v>
      </c>
      <c r="E1345">
        <v>3677472</v>
      </c>
      <c r="F1345">
        <v>1807826</v>
      </c>
      <c r="G1345">
        <v>1869646</v>
      </c>
    </row>
    <row r="1346" spans="1:7" x14ac:dyDescent="0.25">
      <c r="A1346">
        <v>11001</v>
      </c>
      <c r="B1346" t="s">
        <v>341</v>
      </c>
      <c r="C1346" s="1">
        <v>43831</v>
      </c>
      <c r="D1346" s="1">
        <v>44111</v>
      </c>
      <c r="E1346">
        <v>383457</v>
      </c>
    </row>
    <row r="1347" spans="1:7" x14ac:dyDescent="0.25">
      <c r="A1347">
        <v>11001</v>
      </c>
      <c r="B1347" t="s">
        <v>341</v>
      </c>
      <c r="C1347" s="1">
        <v>44112</v>
      </c>
      <c r="D1347" s="1">
        <v>44433</v>
      </c>
      <c r="E1347">
        <v>375238</v>
      </c>
    </row>
    <row r="1348" spans="1:7" x14ac:dyDescent="0.25">
      <c r="A1348">
        <v>11001</v>
      </c>
      <c r="B1348" t="s">
        <v>341</v>
      </c>
      <c r="C1348" s="1">
        <v>44434</v>
      </c>
      <c r="D1348" s="1">
        <v>44826</v>
      </c>
      <c r="E1348">
        <v>374581</v>
      </c>
      <c r="F1348">
        <v>192833</v>
      </c>
      <c r="G1348">
        <v>181748</v>
      </c>
    </row>
    <row r="1349" spans="1:7" x14ac:dyDescent="0.25">
      <c r="A1349">
        <v>11001</v>
      </c>
      <c r="B1349" t="s">
        <v>341</v>
      </c>
      <c r="C1349" s="1">
        <v>44827</v>
      </c>
      <c r="D1349" s="1">
        <v>117974</v>
      </c>
      <c r="E1349">
        <v>377735</v>
      </c>
      <c r="F1349">
        <v>194131</v>
      </c>
      <c r="G1349">
        <v>183604</v>
      </c>
    </row>
    <row r="1350" spans="1:7" x14ac:dyDescent="0.25">
      <c r="A1350">
        <v>11002</v>
      </c>
      <c r="B1350" t="s">
        <v>342</v>
      </c>
      <c r="C1350" s="1">
        <v>43831</v>
      </c>
      <c r="D1350" s="1">
        <v>44111</v>
      </c>
      <c r="E1350">
        <v>289120</v>
      </c>
    </row>
    <row r="1351" spans="1:7" x14ac:dyDescent="0.25">
      <c r="A1351">
        <v>11002</v>
      </c>
      <c r="B1351" t="s">
        <v>342</v>
      </c>
      <c r="C1351" s="1">
        <v>44112</v>
      </c>
      <c r="D1351" s="1">
        <v>44433</v>
      </c>
      <c r="E1351">
        <v>282059</v>
      </c>
    </row>
    <row r="1352" spans="1:7" x14ac:dyDescent="0.25">
      <c r="A1352">
        <v>11002</v>
      </c>
      <c r="B1352" t="s">
        <v>342</v>
      </c>
      <c r="C1352" s="1">
        <v>44434</v>
      </c>
      <c r="D1352" s="1">
        <v>44826</v>
      </c>
      <c r="E1352">
        <v>279210</v>
      </c>
      <c r="F1352">
        <v>143483</v>
      </c>
      <c r="G1352">
        <v>135727</v>
      </c>
    </row>
    <row r="1353" spans="1:7" x14ac:dyDescent="0.25">
      <c r="A1353">
        <v>11002</v>
      </c>
      <c r="B1353" t="s">
        <v>342</v>
      </c>
      <c r="C1353" s="1">
        <v>44827</v>
      </c>
      <c r="D1353" s="1">
        <v>117974</v>
      </c>
      <c r="E1353">
        <v>280671</v>
      </c>
      <c r="F1353">
        <v>144094</v>
      </c>
      <c r="G1353">
        <v>136577</v>
      </c>
    </row>
    <row r="1354" spans="1:7" x14ac:dyDescent="0.25">
      <c r="A1354">
        <v>11003</v>
      </c>
      <c r="B1354" t="s">
        <v>343</v>
      </c>
      <c r="C1354" s="1">
        <v>43831</v>
      </c>
      <c r="D1354" s="1">
        <v>44111</v>
      </c>
      <c r="E1354">
        <v>407039</v>
      </c>
    </row>
    <row r="1355" spans="1:7" x14ac:dyDescent="0.25">
      <c r="A1355">
        <v>11003</v>
      </c>
      <c r="B1355" t="s">
        <v>343</v>
      </c>
      <c r="C1355" s="1">
        <v>44112</v>
      </c>
      <c r="D1355" s="1">
        <v>44433</v>
      </c>
      <c r="E1355">
        <v>398036</v>
      </c>
    </row>
    <row r="1356" spans="1:7" x14ac:dyDescent="0.25">
      <c r="A1356">
        <v>11003</v>
      </c>
      <c r="B1356" t="s">
        <v>343</v>
      </c>
      <c r="C1356" s="1">
        <v>44434</v>
      </c>
      <c r="D1356" s="1">
        <v>44826</v>
      </c>
      <c r="E1356">
        <v>404187</v>
      </c>
      <c r="F1356">
        <v>198099</v>
      </c>
      <c r="G1356">
        <v>206088</v>
      </c>
    </row>
    <row r="1357" spans="1:7" x14ac:dyDescent="0.25">
      <c r="A1357">
        <v>11003</v>
      </c>
      <c r="B1357" t="s">
        <v>343</v>
      </c>
      <c r="C1357" s="1">
        <v>44827</v>
      </c>
      <c r="D1357" s="1">
        <v>117974</v>
      </c>
      <c r="E1357">
        <v>404795</v>
      </c>
      <c r="F1357">
        <v>198392</v>
      </c>
      <c r="G1357">
        <v>206403</v>
      </c>
    </row>
    <row r="1358" spans="1:7" x14ac:dyDescent="0.25">
      <c r="A1358">
        <v>11004</v>
      </c>
      <c r="B1358" t="s">
        <v>344</v>
      </c>
      <c r="C1358" s="1">
        <v>43831</v>
      </c>
      <c r="D1358" s="1">
        <v>44111</v>
      </c>
      <c r="E1358">
        <v>341327</v>
      </c>
    </row>
    <row r="1359" spans="1:7" x14ac:dyDescent="0.25">
      <c r="A1359">
        <v>11004</v>
      </c>
      <c r="B1359" t="s">
        <v>344</v>
      </c>
      <c r="C1359" s="1">
        <v>44112</v>
      </c>
      <c r="D1359" s="1">
        <v>44433</v>
      </c>
      <c r="E1359">
        <v>334401</v>
      </c>
    </row>
    <row r="1360" spans="1:7" x14ac:dyDescent="0.25">
      <c r="A1360">
        <v>11004</v>
      </c>
      <c r="B1360" t="s">
        <v>344</v>
      </c>
      <c r="C1360" s="1">
        <v>44434</v>
      </c>
      <c r="D1360" s="1">
        <v>44826</v>
      </c>
      <c r="E1360">
        <v>316223</v>
      </c>
      <c r="F1360">
        <v>151017</v>
      </c>
      <c r="G1360">
        <v>165206</v>
      </c>
    </row>
    <row r="1361" spans="1:7" x14ac:dyDescent="0.25">
      <c r="A1361">
        <v>11004</v>
      </c>
      <c r="B1361" t="s">
        <v>344</v>
      </c>
      <c r="C1361" s="1">
        <v>44827</v>
      </c>
      <c r="D1361" s="1">
        <v>117974</v>
      </c>
      <c r="E1361">
        <v>317229</v>
      </c>
      <c r="F1361">
        <v>151425</v>
      </c>
      <c r="G1361">
        <v>165804</v>
      </c>
    </row>
    <row r="1362" spans="1:7" x14ac:dyDescent="0.25">
      <c r="A1362">
        <v>11005</v>
      </c>
      <c r="B1362" t="s">
        <v>345</v>
      </c>
      <c r="C1362" s="1">
        <v>43831</v>
      </c>
      <c r="D1362" s="1">
        <v>44111</v>
      </c>
      <c r="E1362">
        <v>243080</v>
      </c>
    </row>
    <row r="1363" spans="1:7" x14ac:dyDescent="0.25">
      <c r="A1363">
        <v>11005</v>
      </c>
      <c r="B1363" t="s">
        <v>345</v>
      </c>
      <c r="C1363" s="1">
        <v>44112</v>
      </c>
      <c r="D1363" s="1">
        <v>44433</v>
      </c>
      <c r="E1363">
        <v>239019</v>
      </c>
    </row>
    <row r="1364" spans="1:7" x14ac:dyDescent="0.25">
      <c r="A1364">
        <v>11005</v>
      </c>
      <c r="B1364" t="s">
        <v>345</v>
      </c>
      <c r="C1364" s="1">
        <v>44434</v>
      </c>
      <c r="D1364" s="1">
        <v>44826</v>
      </c>
      <c r="E1364">
        <v>239374</v>
      </c>
      <c r="F1364">
        <v>116422</v>
      </c>
      <c r="G1364">
        <v>122952</v>
      </c>
    </row>
    <row r="1365" spans="1:7" x14ac:dyDescent="0.25">
      <c r="A1365">
        <v>11005</v>
      </c>
      <c r="B1365" t="s">
        <v>345</v>
      </c>
      <c r="C1365" s="1">
        <v>44827</v>
      </c>
      <c r="D1365" s="1">
        <v>117974</v>
      </c>
      <c r="E1365">
        <v>240542</v>
      </c>
      <c r="F1365">
        <v>116889</v>
      </c>
      <c r="G1365">
        <v>123653</v>
      </c>
    </row>
    <row r="1366" spans="1:7" x14ac:dyDescent="0.25">
      <c r="A1366">
        <v>11006</v>
      </c>
      <c r="B1366" t="s">
        <v>346</v>
      </c>
      <c r="C1366" s="1">
        <v>43831</v>
      </c>
      <c r="D1366" s="1">
        <v>44111</v>
      </c>
      <c r="E1366">
        <v>308077</v>
      </c>
    </row>
    <row r="1367" spans="1:7" x14ac:dyDescent="0.25">
      <c r="A1367">
        <v>11006</v>
      </c>
      <c r="B1367" t="s">
        <v>346</v>
      </c>
      <c r="C1367" s="1">
        <v>44112</v>
      </c>
      <c r="D1367" s="1">
        <v>44433</v>
      </c>
      <c r="E1367">
        <v>302177</v>
      </c>
    </row>
    <row r="1368" spans="1:7" x14ac:dyDescent="0.25">
      <c r="A1368">
        <v>11006</v>
      </c>
      <c r="B1368" t="s">
        <v>346</v>
      </c>
      <c r="C1368" s="1">
        <v>44434</v>
      </c>
      <c r="D1368" s="1">
        <v>44826</v>
      </c>
      <c r="E1368">
        <v>291915</v>
      </c>
      <c r="F1368">
        <v>135986</v>
      </c>
      <c r="G1368">
        <v>155929</v>
      </c>
    </row>
    <row r="1369" spans="1:7" x14ac:dyDescent="0.25">
      <c r="A1369">
        <v>11006</v>
      </c>
      <c r="B1369" t="s">
        <v>346</v>
      </c>
      <c r="C1369" s="1">
        <v>44827</v>
      </c>
      <c r="D1369" s="1">
        <v>117974</v>
      </c>
      <c r="E1369">
        <v>292255</v>
      </c>
      <c r="F1369">
        <v>136025</v>
      </c>
      <c r="G1369">
        <v>156230</v>
      </c>
    </row>
    <row r="1370" spans="1:7" x14ac:dyDescent="0.25">
      <c r="A1370">
        <v>11007</v>
      </c>
      <c r="B1370" t="s">
        <v>347</v>
      </c>
      <c r="C1370" s="1">
        <v>43831</v>
      </c>
      <c r="D1370" s="1">
        <v>44111</v>
      </c>
      <c r="E1370">
        <v>351429</v>
      </c>
    </row>
    <row r="1371" spans="1:7" x14ac:dyDescent="0.25">
      <c r="A1371">
        <v>11007</v>
      </c>
      <c r="B1371" t="s">
        <v>347</v>
      </c>
      <c r="C1371" s="1">
        <v>44112</v>
      </c>
      <c r="D1371" s="1">
        <v>44433</v>
      </c>
      <c r="E1371">
        <v>341772</v>
      </c>
    </row>
    <row r="1372" spans="1:7" x14ac:dyDescent="0.25">
      <c r="A1372">
        <v>11007</v>
      </c>
      <c r="B1372" t="s">
        <v>347</v>
      </c>
      <c r="C1372" s="1">
        <v>44434</v>
      </c>
      <c r="D1372" s="1">
        <v>44826</v>
      </c>
      <c r="E1372">
        <v>341296</v>
      </c>
      <c r="F1372">
        <v>165623</v>
      </c>
      <c r="G1372">
        <v>175673</v>
      </c>
    </row>
    <row r="1373" spans="1:7" x14ac:dyDescent="0.25">
      <c r="A1373">
        <v>11007</v>
      </c>
      <c r="B1373" t="s">
        <v>347</v>
      </c>
      <c r="C1373" s="1">
        <v>44827</v>
      </c>
      <c r="D1373" s="1">
        <v>117974</v>
      </c>
      <c r="E1373">
        <v>342285</v>
      </c>
      <c r="F1373">
        <v>166006</v>
      </c>
      <c r="G1373">
        <v>176279</v>
      </c>
    </row>
    <row r="1374" spans="1:7" x14ac:dyDescent="0.25">
      <c r="A1374">
        <v>11008</v>
      </c>
      <c r="B1374" t="s">
        <v>348</v>
      </c>
      <c r="C1374" s="1">
        <v>43831</v>
      </c>
      <c r="D1374" s="1">
        <v>44111</v>
      </c>
      <c r="E1374">
        <v>330786</v>
      </c>
    </row>
    <row r="1375" spans="1:7" x14ac:dyDescent="0.25">
      <c r="A1375">
        <v>11008</v>
      </c>
      <c r="B1375" t="s">
        <v>348</v>
      </c>
      <c r="C1375" s="1">
        <v>44112</v>
      </c>
      <c r="D1375" s="1">
        <v>44433</v>
      </c>
      <c r="E1375">
        <v>321123</v>
      </c>
    </row>
    <row r="1376" spans="1:7" x14ac:dyDescent="0.25">
      <c r="A1376">
        <v>11008</v>
      </c>
      <c r="B1376" t="s">
        <v>348</v>
      </c>
      <c r="C1376" s="1">
        <v>44434</v>
      </c>
      <c r="D1376" s="1">
        <v>44826</v>
      </c>
      <c r="E1376">
        <v>318509</v>
      </c>
      <c r="F1376">
        <v>158648</v>
      </c>
      <c r="G1376">
        <v>159861</v>
      </c>
    </row>
    <row r="1377" spans="1:7" x14ac:dyDescent="0.25">
      <c r="A1377">
        <v>11008</v>
      </c>
      <c r="B1377" t="s">
        <v>348</v>
      </c>
      <c r="C1377" s="1">
        <v>44827</v>
      </c>
      <c r="D1377" s="1">
        <v>117974</v>
      </c>
      <c r="E1377">
        <v>320204</v>
      </c>
      <c r="F1377">
        <v>159399</v>
      </c>
      <c r="G1377">
        <v>160805</v>
      </c>
    </row>
    <row r="1378" spans="1:7" x14ac:dyDescent="0.25">
      <c r="A1378">
        <v>11009</v>
      </c>
      <c r="B1378" t="s">
        <v>349</v>
      </c>
      <c r="C1378" s="1">
        <v>43831</v>
      </c>
      <c r="D1378" s="1">
        <v>44111</v>
      </c>
      <c r="E1378">
        <v>269775</v>
      </c>
    </row>
    <row r="1379" spans="1:7" x14ac:dyDescent="0.25">
      <c r="A1379">
        <v>11009</v>
      </c>
      <c r="B1379" t="s">
        <v>349</v>
      </c>
      <c r="C1379" s="1">
        <v>44112</v>
      </c>
      <c r="D1379" s="1">
        <v>44433</v>
      </c>
      <c r="E1379">
        <v>266488</v>
      </c>
    </row>
    <row r="1380" spans="1:7" x14ac:dyDescent="0.25">
      <c r="A1380">
        <v>11009</v>
      </c>
      <c r="B1380" t="s">
        <v>349</v>
      </c>
      <c r="C1380" s="1">
        <v>44434</v>
      </c>
      <c r="D1380" s="1">
        <v>44826</v>
      </c>
      <c r="E1380">
        <v>272992</v>
      </c>
      <c r="F1380">
        <v>132792</v>
      </c>
      <c r="G1380">
        <v>140200</v>
      </c>
    </row>
    <row r="1381" spans="1:7" x14ac:dyDescent="0.25">
      <c r="A1381">
        <v>11009</v>
      </c>
      <c r="B1381" t="s">
        <v>349</v>
      </c>
      <c r="C1381" s="1">
        <v>44827</v>
      </c>
      <c r="D1381" s="1">
        <v>117974</v>
      </c>
      <c r="E1381">
        <v>273188</v>
      </c>
      <c r="F1381">
        <v>132981</v>
      </c>
      <c r="G1381">
        <v>140207</v>
      </c>
    </row>
    <row r="1382" spans="1:7" x14ac:dyDescent="0.25">
      <c r="A1382">
        <v>11010</v>
      </c>
      <c r="B1382" t="s">
        <v>350</v>
      </c>
      <c r="C1382" s="1">
        <v>43831</v>
      </c>
      <c r="D1382" s="1">
        <v>44111</v>
      </c>
      <c r="E1382">
        <v>268739</v>
      </c>
    </row>
    <row r="1383" spans="1:7" x14ac:dyDescent="0.25">
      <c r="A1383">
        <v>11010</v>
      </c>
      <c r="B1383" t="s">
        <v>350</v>
      </c>
      <c r="C1383" s="1">
        <v>44112</v>
      </c>
      <c r="D1383" s="1">
        <v>44433</v>
      </c>
      <c r="E1383">
        <v>262967</v>
      </c>
    </row>
    <row r="1384" spans="1:7" x14ac:dyDescent="0.25">
      <c r="A1384">
        <v>11010</v>
      </c>
      <c r="B1384" t="s">
        <v>350</v>
      </c>
      <c r="C1384" s="1">
        <v>44434</v>
      </c>
      <c r="D1384" s="1">
        <v>44826</v>
      </c>
      <c r="E1384">
        <v>274076</v>
      </c>
      <c r="F1384">
        <v>135123</v>
      </c>
      <c r="G1384">
        <v>138953</v>
      </c>
    </row>
    <row r="1385" spans="1:7" x14ac:dyDescent="0.25">
      <c r="A1385">
        <v>11010</v>
      </c>
      <c r="B1385" t="s">
        <v>350</v>
      </c>
      <c r="C1385" s="1">
        <v>44827</v>
      </c>
      <c r="D1385" s="1">
        <v>117974</v>
      </c>
      <c r="E1385">
        <v>274853</v>
      </c>
      <c r="F1385">
        <v>135588</v>
      </c>
      <c r="G1385">
        <v>139265</v>
      </c>
    </row>
    <row r="1386" spans="1:7" x14ac:dyDescent="0.25">
      <c r="A1386">
        <v>11011</v>
      </c>
      <c r="B1386" t="s">
        <v>351</v>
      </c>
      <c r="C1386" s="1">
        <v>43831</v>
      </c>
      <c r="D1386" s="1">
        <v>44111</v>
      </c>
      <c r="E1386">
        <v>290493</v>
      </c>
    </row>
    <row r="1387" spans="1:7" x14ac:dyDescent="0.25">
      <c r="A1387">
        <v>11011</v>
      </c>
      <c r="B1387" t="s">
        <v>351</v>
      </c>
      <c r="C1387" s="1">
        <v>44112</v>
      </c>
      <c r="D1387" s="1">
        <v>44433</v>
      </c>
      <c r="E1387">
        <v>286522</v>
      </c>
    </row>
    <row r="1388" spans="1:7" x14ac:dyDescent="0.25">
      <c r="A1388">
        <v>11011</v>
      </c>
      <c r="B1388" t="s">
        <v>351</v>
      </c>
      <c r="C1388" s="1">
        <v>44434</v>
      </c>
      <c r="D1388" s="1">
        <v>44826</v>
      </c>
      <c r="E1388">
        <v>292005</v>
      </c>
      <c r="F1388">
        <v>144368</v>
      </c>
      <c r="G1388">
        <v>147637</v>
      </c>
    </row>
    <row r="1389" spans="1:7" x14ac:dyDescent="0.25">
      <c r="A1389">
        <v>11011</v>
      </c>
      <c r="B1389" t="s">
        <v>351</v>
      </c>
      <c r="C1389" s="1">
        <v>44827</v>
      </c>
      <c r="D1389" s="1">
        <v>117974</v>
      </c>
      <c r="E1389">
        <v>293139</v>
      </c>
      <c r="F1389">
        <v>144894</v>
      </c>
      <c r="G1389">
        <v>148245</v>
      </c>
    </row>
    <row r="1390" spans="1:7" x14ac:dyDescent="0.25">
      <c r="A1390">
        <v>11012</v>
      </c>
      <c r="B1390" t="s">
        <v>352</v>
      </c>
      <c r="C1390" s="1">
        <v>43831</v>
      </c>
      <c r="D1390" s="1">
        <v>44111</v>
      </c>
      <c r="E1390">
        <v>264826</v>
      </c>
    </row>
    <row r="1391" spans="1:7" x14ac:dyDescent="0.25">
      <c r="A1391">
        <v>11012</v>
      </c>
      <c r="B1391" t="s">
        <v>352</v>
      </c>
      <c r="C1391" s="1">
        <v>44112</v>
      </c>
      <c r="D1391" s="1">
        <v>44433</v>
      </c>
      <c r="E1391">
        <v>259689</v>
      </c>
    </row>
    <row r="1392" spans="1:7" x14ac:dyDescent="0.25">
      <c r="A1392">
        <v>11012</v>
      </c>
      <c r="B1392" t="s">
        <v>352</v>
      </c>
      <c r="C1392" s="1">
        <v>44434</v>
      </c>
      <c r="D1392" s="1">
        <v>44826</v>
      </c>
      <c r="E1392">
        <v>259720</v>
      </c>
      <c r="F1392">
        <v>127644</v>
      </c>
      <c r="G1392">
        <v>132076</v>
      </c>
    </row>
    <row r="1393" spans="1:7" x14ac:dyDescent="0.25">
      <c r="A1393">
        <v>11012</v>
      </c>
      <c r="B1393" t="s">
        <v>352</v>
      </c>
      <c r="C1393" s="1">
        <v>44827</v>
      </c>
      <c r="D1393" s="1">
        <v>117974</v>
      </c>
      <c r="E1393">
        <v>260576</v>
      </c>
      <c r="F1393">
        <v>128002</v>
      </c>
      <c r="G1393">
        <v>132574</v>
      </c>
    </row>
    <row r="1394" spans="1:7" x14ac:dyDescent="0.25">
      <c r="A1394">
        <v>12</v>
      </c>
      <c r="B1394" t="s">
        <v>353</v>
      </c>
      <c r="C1394" s="1">
        <v>43831</v>
      </c>
      <c r="D1394" s="1">
        <v>44111</v>
      </c>
      <c r="E1394">
        <v>2511917</v>
      </c>
    </row>
    <row r="1395" spans="1:7" x14ac:dyDescent="0.25">
      <c r="A1395">
        <v>12</v>
      </c>
      <c r="B1395" t="s">
        <v>353</v>
      </c>
      <c r="C1395" s="1">
        <v>44112</v>
      </c>
      <c r="D1395" s="1">
        <v>44433</v>
      </c>
      <c r="E1395">
        <v>2521893</v>
      </c>
    </row>
    <row r="1396" spans="1:7" x14ac:dyDescent="0.25">
      <c r="A1396">
        <v>12</v>
      </c>
      <c r="B1396" t="s">
        <v>353</v>
      </c>
      <c r="C1396" s="1">
        <v>44434</v>
      </c>
      <c r="D1396" s="1">
        <v>44826</v>
      </c>
      <c r="E1396">
        <v>2531071</v>
      </c>
      <c r="F1396">
        <v>1248050</v>
      </c>
      <c r="G1396">
        <v>1283021</v>
      </c>
    </row>
    <row r="1397" spans="1:7" x14ac:dyDescent="0.25">
      <c r="A1397">
        <v>12</v>
      </c>
      <c r="B1397" t="s">
        <v>353</v>
      </c>
      <c r="C1397" s="1">
        <v>44827</v>
      </c>
      <c r="D1397" s="1">
        <v>117974</v>
      </c>
      <c r="E1397">
        <v>2537868</v>
      </c>
      <c r="F1397">
        <v>1250325</v>
      </c>
      <c r="G1397">
        <v>1287543</v>
      </c>
    </row>
    <row r="1398" spans="1:7" x14ac:dyDescent="0.25">
      <c r="A1398">
        <v>12051</v>
      </c>
      <c r="B1398" t="s">
        <v>354</v>
      </c>
      <c r="C1398" s="1">
        <v>43831</v>
      </c>
      <c r="D1398" s="1">
        <v>44111</v>
      </c>
      <c r="E1398">
        <v>72124</v>
      </c>
    </row>
    <row r="1399" spans="1:7" x14ac:dyDescent="0.25">
      <c r="A1399">
        <v>12051</v>
      </c>
      <c r="B1399" t="s">
        <v>354</v>
      </c>
      <c r="C1399" s="1">
        <v>44112</v>
      </c>
      <c r="D1399" s="1">
        <v>44433</v>
      </c>
      <c r="E1399">
        <v>72184</v>
      </c>
    </row>
    <row r="1400" spans="1:7" x14ac:dyDescent="0.25">
      <c r="A1400">
        <v>12051</v>
      </c>
      <c r="B1400" t="s">
        <v>354</v>
      </c>
      <c r="C1400" s="1">
        <v>44434</v>
      </c>
      <c r="D1400" s="1">
        <v>44826</v>
      </c>
      <c r="E1400">
        <v>72040</v>
      </c>
      <c r="F1400">
        <v>35480</v>
      </c>
      <c r="G1400">
        <v>36560</v>
      </c>
    </row>
    <row r="1401" spans="1:7" x14ac:dyDescent="0.25">
      <c r="A1401">
        <v>12051</v>
      </c>
      <c r="B1401" t="s">
        <v>354</v>
      </c>
      <c r="C1401" s="1">
        <v>44827</v>
      </c>
      <c r="D1401" s="1">
        <v>117974</v>
      </c>
      <c r="E1401">
        <v>72461</v>
      </c>
      <c r="F1401">
        <v>35635</v>
      </c>
      <c r="G1401">
        <v>36826</v>
      </c>
    </row>
    <row r="1402" spans="1:7" x14ac:dyDescent="0.25">
      <c r="A1402">
        <v>12052</v>
      </c>
      <c r="B1402" t="s">
        <v>355</v>
      </c>
      <c r="C1402" s="1">
        <v>43831</v>
      </c>
      <c r="D1402" s="1">
        <v>44111</v>
      </c>
      <c r="E1402">
        <v>100219</v>
      </c>
    </row>
    <row r="1403" spans="1:7" x14ac:dyDescent="0.25">
      <c r="A1403">
        <v>12052</v>
      </c>
      <c r="B1403" t="s">
        <v>355</v>
      </c>
      <c r="C1403" s="1">
        <v>44112</v>
      </c>
      <c r="D1403" s="1">
        <v>44433</v>
      </c>
      <c r="E1403">
        <v>99678</v>
      </c>
    </row>
    <row r="1404" spans="1:7" x14ac:dyDescent="0.25">
      <c r="A1404">
        <v>12052</v>
      </c>
      <c r="B1404" t="s">
        <v>355</v>
      </c>
      <c r="C1404" s="1">
        <v>44434</v>
      </c>
      <c r="D1404" s="1">
        <v>44826</v>
      </c>
      <c r="E1404">
        <v>98693</v>
      </c>
      <c r="F1404">
        <v>48345</v>
      </c>
      <c r="G1404">
        <v>50348</v>
      </c>
    </row>
    <row r="1405" spans="1:7" x14ac:dyDescent="0.25">
      <c r="A1405">
        <v>12052</v>
      </c>
      <c r="B1405" t="s">
        <v>355</v>
      </c>
      <c r="C1405" s="1">
        <v>44827</v>
      </c>
      <c r="D1405" s="1">
        <v>117974</v>
      </c>
      <c r="E1405">
        <v>98359</v>
      </c>
      <c r="F1405">
        <v>48184</v>
      </c>
      <c r="G1405">
        <v>50175</v>
      </c>
    </row>
    <row r="1406" spans="1:7" x14ac:dyDescent="0.25">
      <c r="A1406">
        <v>12053</v>
      </c>
      <c r="B1406" t="s">
        <v>356</v>
      </c>
      <c r="C1406" s="1">
        <v>43831</v>
      </c>
      <c r="D1406" s="1">
        <v>44111</v>
      </c>
      <c r="E1406">
        <v>57873</v>
      </c>
    </row>
    <row r="1407" spans="1:7" x14ac:dyDescent="0.25">
      <c r="A1407">
        <v>12053</v>
      </c>
      <c r="B1407" t="s">
        <v>356</v>
      </c>
      <c r="C1407" s="1">
        <v>44112</v>
      </c>
      <c r="D1407" s="1">
        <v>44433</v>
      </c>
      <c r="E1407">
        <v>57751</v>
      </c>
    </row>
    <row r="1408" spans="1:7" x14ac:dyDescent="0.25">
      <c r="A1408">
        <v>12053</v>
      </c>
      <c r="B1408" t="s">
        <v>356</v>
      </c>
      <c r="C1408" s="1">
        <v>44434</v>
      </c>
      <c r="D1408" s="1">
        <v>44826</v>
      </c>
      <c r="E1408">
        <v>57015</v>
      </c>
      <c r="F1408">
        <v>27704</v>
      </c>
      <c r="G1408">
        <v>29311</v>
      </c>
    </row>
    <row r="1409" spans="1:7" x14ac:dyDescent="0.25">
      <c r="A1409">
        <v>12053</v>
      </c>
      <c r="B1409" t="s">
        <v>356</v>
      </c>
      <c r="C1409" s="1">
        <v>44827</v>
      </c>
      <c r="D1409" s="1">
        <v>117974</v>
      </c>
      <c r="E1409">
        <v>56679</v>
      </c>
      <c r="F1409">
        <v>27482</v>
      </c>
      <c r="G1409">
        <v>29197</v>
      </c>
    </row>
    <row r="1410" spans="1:7" x14ac:dyDescent="0.25">
      <c r="A1410">
        <v>12054</v>
      </c>
      <c r="B1410" t="s">
        <v>357</v>
      </c>
      <c r="C1410" s="1">
        <v>43831</v>
      </c>
      <c r="D1410" s="1">
        <v>44111</v>
      </c>
      <c r="E1410">
        <v>178089</v>
      </c>
    </row>
    <row r="1411" spans="1:7" x14ac:dyDescent="0.25">
      <c r="A1411">
        <v>12054</v>
      </c>
      <c r="B1411" t="s">
        <v>357</v>
      </c>
      <c r="C1411" s="1">
        <v>44112</v>
      </c>
      <c r="D1411" s="1">
        <v>44433</v>
      </c>
      <c r="E1411">
        <v>180334</v>
      </c>
    </row>
    <row r="1412" spans="1:7" x14ac:dyDescent="0.25">
      <c r="A1412">
        <v>12054</v>
      </c>
      <c r="B1412" t="s">
        <v>357</v>
      </c>
      <c r="C1412" s="1">
        <v>44434</v>
      </c>
      <c r="D1412" s="1">
        <v>44826</v>
      </c>
      <c r="E1412">
        <v>182112</v>
      </c>
      <c r="F1412">
        <v>88122</v>
      </c>
      <c r="G1412">
        <v>93990</v>
      </c>
    </row>
    <row r="1413" spans="1:7" x14ac:dyDescent="0.25">
      <c r="A1413">
        <v>12054</v>
      </c>
      <c r="B1413" t="s">
        <v>357</v>
      </c>
      <c r="C1413" s="1">
        <v>44827</v>
      </c>
      <c r="D1413" s="1">
        <v>117974</v>
      </c>
      <c r="E1413">
        <v>183154</v>
      </c>
      <c r="F1413">
        <v>88443</v>
      </c>
      <c r="G1413">
        <v>94711</v>
      </c>
    </row>
    <row r="1414" spans="1:7" x14ac:dyDescent="0.25">
      <c r="A1414">
        <v>12060</v>
      </c>
      <c r="B1414" t="s">
        <v>358</v>
      </c>
      <c r="C1414" s="1">
        <v>43831</v>
      </c>
      <c r="D1414" s="1">
        <v>44111</v>
      </c>
      <c r="E1414">
        <v>182760</v>
      </c>
    </row>
    <row r="1415" spans="1:7" x14ac:dyDescent="0.25">
      <c r="A1415">
        <v>12060</v>
      </c>
      <c r="B1415" t="s">
        <v>358</v>
      </c>
      <c r="C1415" s="1">
        <v>44112</v>
      </c>
      <c r="D1415" s="1">
        <v>44433</v>
      </c>
      <c r="E1415">
        <v>185244</v>
      </c>
    </row>
    <row r="1416" spans="1:7" x14ac:dyDescent="0.25">
      <c r="A1416">
        <v>12060</v>
      </c>
      <c r="B1416" t="s">
        <v>358</v>
      </c>
      <c r="C1416" s="1">
        <v>44434</v>
      </c>
      <c r="D1416" s="1">
        <v>44826</v>
      </c>
      <c r="E1416">
        <v>187343</v>
      </c>
      <c r="F1416">
        <v>92800</v>
      </c>
      <c r="G1416">
        <v>94543</v>
      </c>
    </row>
    <row r="1417" spans="1:7" x14ac:dyDescent="0.25">
      <c r="A1417">
        <v>12060</v>
      </c>
      <c r="B1417" t="s">
        <v>358</v>
      </c>
      <c r="C1417" s="1">
        <v>44827</v>
      </c>
      <c r="D1417" s="1">
        <v>117974</v>
      </c>
      <c r="E1417">
        <v>188835</v>
      </c>
      <c r="F1417">
        <v>93344</v>
      </c>
      <c r="G1417">
        <v>95491</v>
      </c>
    </row>
    <row r="1418" spans="1:7" x14ac:dyDescent="0.25">
      <c r="A1418">
        <v>12061</v>
      </c>
      <c r="B1418" t="s">
        <v>359</v>
      </c>
      <c r="C1418" s="1">
        <v>43831</v>
      </c>
      <c r="D1418" s="1">
        <v>44111</v>
      </c>
      <c r="E1418">
        <v>169067</v>
      </c>
    </row>
    <row r="1419" spans="1:7" x14ac:dyDescent="0.25">
      <c r="A1419">
        <v>12061</v>
      </c>
      <c r="B1419" t="s">
        <v>359</v>
      </c>
      <c r="C1419" s="1">
        <v>44112</v>
      </c>
      <c r="D1419" s="1">
        <v>44433</v>
      </c>
      <c r="E1419">
        <v>170791</v>
      </c>
    </row>
    <row r="1420" spans="1:7" x14ac:dyDescent="0.25">
      <c r="A1420">
        <v>12061</v>
      </c>
      <c r="B1420" t="s">
        <v>359</v>
      </c>
      <c r="C1420" s="1">
        <v>44434</v>
      </c>
      <c r="D1420" s="1">
        <v>44826</v>
      </c>
      <c r="E1420">
        <v>173316</v>
      </c>
      <c r="F1420">
        <v>85908</v>
      </c>
      <c r="G1420">
        <v>87408</v>
      </c>
    </row>
    <row r="1421" spans="1:7" x14ac:dyDescent="0.25">
      <c r="A1421">
        <v>12061</v>
      </c>
      <c r="B1421" t="s">
        <v>359</v>
      </c>
      <c r="C1421" s="1">
        <v>44827</v>
      </c>
      <c r="D1421" s="1">
        <v>117974</v>
      </c>
      <c r="E1421">
        <v>175834</v>
      </c>
      <c r="F1421">
        <v>87089</v>
      </c>
      <c r="G1421">
        <v>88745</v>
      </c>
    </row>
    <row r="1422" spans="1:7" x14ac:dyDescent="0.25">
      <c r="A1422">
        <v>12062</v>
      </c>
      <c r="B1422" t="s">
        <v>360</v>
      </c>
      <c r="C1422" s="1">
        <v>43831</v>
      </c>
      <c r="D1422" s="1">
        <v>44111</v>
      </c>
      <c r="E1422">
        <v>102638</v>
      </c>
    </row>
    <row r="1423" spans="1:7" x14ac:dyDescent="0.25">
      <c r="A1423">
        <v>12062</v>
      </c>
      <c r="B1423" t="s">
        <v>360</v>
      </c>
      <c r="C1423" s="1">
        <v>44112</v>
      </c>
      <c r="D1423" s="1">
        <v>44433</v>
      </c>
      <c r="E1423">
        <v>101827</v>
      </c>
    </row>
    <row r="1424" spans="1:7" x14ac:dyDescent="0.25">
      <c r="A1424">
        <v>12062</v>
      </c>
      <c r="B1424" t="s">
        <v>360</v>
      </c>
      <c r="C1424" s="1">
        <v>44434</v>
      </c>
      <c r="D1424" s="1">
        <v>44826</v>
      </c>
      <c r="E1424">
        <v>101085</v>
      </c>
      <c r="F1424">
        <v>50098</v>
      </c>
      <c r="G1424">
        <v>50987</v>
      </c>
    </row>
    <row r="1425" spans="1:7" x14ac:dyDescent="0.25">
      <c r="A1425">
        <v>12062</v>
      </c>
      <c r="B1425" t="s">
        <v>360</v>
      </c>
      <c r="C1425" s="1">
        <v>44827</v>
      </c>
      <c r="D1425" s="1">
        <v>117974</v>
      </c>
      <c r="E1425">
        <v>100317</v>
      </c>
      <c r="F1425">
        <v>49675</v>
      </c>
      <c r="G1425">
        <v>50642</v>
      </c>
    </row>
    <row r="1426" spans="1:7" x14ac:dyDescent="0.25">
      <c r="A1426">
        <v>12063</v>
      </c>
      <c r="B1426" t="s">
        <v>361</v>
      </c>
      <c r="C1426" s="1">
        <v>43831</v>
      </c>
      <c r="D1426" s="1">
        <v>44111</v>
      </c>
      <c r="E1426">
        <v>161909</v>
      </c>
    </row>
    <row r="1427" spans="1:7" x14ac:dyDescent="0.25">
      <c r="A1427">
        <v>12063</v>
      </c>
      <c r="B1427" t="s">
        <v>361</v>
      </c>
      <c r="C1427" s="1">
        <v>44112</v>
      </c>
      <c r="D1427" s="1">
        <v>44433</v>
      </c>
      <c r="E1427">
        <v>162996</v>
      </c>
    </row>
    <row r="1428" spans="1:7" x14ac:dyDescent="0.25">
      <c r="A1428">
        <v>12063</v>
      </c>
      <c r="B1428" t="s">
        <v>361</v>
      </c>
      <c r="C1428" s="1">
        <v>44434</v>
      </c>
      <c r="D1428" s="1">
        <v>44826</v>
      </c>
      <c r="E1428">
        <v>164693</v>
      </c>
      <c r="F1428">
        <v>81382</v>
      </c>
      <c r="G1428">
        <v>83311</v>
      </c>
    </row>
    <row r="1429" spans="1:7" x14ac:dyDescent="0.25">
      <c r="A1429">
        <v>12063</v>
      </c>
      <c r="B1429" t="s">
        <v>361</v>
      </c>
      <c r="C1429" s="1">
        <v>44827</v>
      </c>
      <c r="D1429" s="1">
        <v>117974</v>
      </c>
      <c r="E1429">
        <v>165906</v>
      </c>
      <c r="F1429">
        <v>81939</v>
      </c>
      <c r="G1429">
        <v>83967</v>
      </c>
    </row>
    <row r="1430" spans="1:7" x14ac:dyDescent="0.25">
      <c r="A1430">
        <v>12064</v>
      </c>
      <c r="B1430" t="s">
        <v>362</v>
      </c>
      <c r="C1430" s="1">
        <v>43831</v>
      </c>
      <c r="D1430" s="1">
        <v>44111</v>
      </c>
      <c r="E1430">
        <v>194328</v>
      </c>
    </row>
    <row r="1431" spans="1:7" x14ac:dyDescent="0.25">
      <c r="A1431">
        <v>12064</v>
      </c>
      <c r="B1431" t="s">
        <v>362</v>
      </c>
      <c r="C1431" s="1">
        <v>44112</v>
      </c>
      <c r="D1431" s="1">
        <v>44433</v>
      </c>
      <c r="E1431">
        <v>195751</v>
      </c>
    </row>
    <row r="1432" spans="1:7" x14ac:dyDescent="0.25">
      <c r="A1432">
        <v>12064</v>
      </c>
      <c r="B1432" t="s">
        <v>362</v>
      </c>
      <c r="C1432" s="1">
        <v>44434</v>
      </c>
      <c r="D1432" s="1">
        <v>44826</v>
      </c>
      <c r="E1432">
        <v>197195</v>
      </c>
      <c r="F1432">
        <v>97811</v>
      </c>
      <c r="G1432">
        <v>99384</v>
      </c>
    </row>
    <row r="1433" spans="1:7" x14ac:dyDescent="0.25">
      <c r="A1433">
        <v>12064</v>
      </c>
      <c r="B1433" t="s">
        <v>362</v>
      </c>
      <c r="C1433" s="1">
        <v>44827</v>
      </c>
      <c r="D1433" s="1">
        <v>117974</v>
      </c>
      <c r="E1433">
        <v>197965</v>
      </c>
      <c r="F1433">
        <v>98154</v>
      </c>
      <c r="G1433">
        <v>99811</v>
      </c>
    </row>
    <row r="1434" spans="1:7" x14ac:dyDescent="0.25">
      <c r="A1434">
        <v>12065</v>
      </c>
      <c r="B1434" t="s">
        <v>363</v>
      </c>
      <c r="C1434" s="1">
        <v>43831</v>
      </c>
      <c r="D1434" s="1">
        <v>44111</v>
      </c>
      <c r="E1434">
        <v>211249</v>
      </c>
    </row>
    <row r="1435" spans="1:7" x14ac:dyDescent="0.25">
      <c r="A1435">
        <v>12065</v>
      </c>
      <c r="B1435" t="s">
        <v>363</v>
      </c>
      <c r="C1435" s="1">
        <v>44112</v>
      </c>
      <c r="D1435" s="1">
        <v>44433</v>
      </c>
      <c r="E1435">
        <v>212914</v>
      </c>
    </row>
    <row r="1436" spans="1:7" x14ac:dyDescent="0.25">
      <c r="A1436">
        <v>12065</v>
      </c>
      <c r="B1436" t="s">
        <v>363</v>
      </c>
      <c r="C1436" s="1">
        <v>44434</v>
      </c>
      <c r="D1436" s="1">
        <v>44826</v>
      </c>
      <c r="E1436">
        <v>214234</v>
      </c>
      <c r="F1436">
        <v>105559</v>
      </c>
      <c r="G1436">
        <v>108675</v>
      </c>
    </row>
    <row r="1437" spans="1:7" x14ac:dyDescent="0.25">
      <c r="A1437">
        <v>12065</v>
      </c>
      <c r="B1437" t="s">
        <v>363</v>
      </c>
      <c r="C1437" s="1">
        <v>44827</v>
      </c>
      <c r="D1437" s="1">
        <v>117974</v>
      </c>
      <c r="E1437">
        <v>215795</v>
      </c>
      <c r="F1437">
        <v>106259</v>
      </c>
      <c r="G1437">
        <v>109536</v>
      </c>
    </row>
    <row r="1438" spans="1:7" x14ac:dyDescent="0.25">
      <c r="A1438">
        <v>12066</v>
      </c>
      <c r="B1438" t="s">
        <v>364</v>
      </c>
      <c r="C1438" s="1">
        <v>43831</v>
      </c>
      <c r="D1438" s="1">
        <v>44111</v>
      </c>
      <c r="E1438">
        <v>110476</v>
      </c>
    </row>
    <row r="1439" spans="1:7" x14ac:dyDescent="0.25">
      <c r="A1439">
        <v>12066</v>
      </c>
      <c r="B1439" t="s">
        <v>364</v>
      </c>
      <c r="C1439" s="1">
        <v>44112</v>
      </c>
      <c r="D1439" s="1">
        <v>44433</v>
      </c>
      <c r="E1439">
        <v>109371</v>
      </c>
    </row>
    <row r="1440" spans="1:7" x14ac:dyDescent="0.25">
      <c r="A1440">
        <v>12066</v>
      </c>
      <c r="B1440" t="s">
        <v>364</v>
      </c>
      <c r="C1440" s="1">
        <v>44434</v>
      </c>
      <c r="D1440" s="1">
        <v>44826</v>
      </c>
      <c r="E1440">
        <v>108396</v>
      </c>
      <c r="F1440">
        <v>53199</v>
      </c>
      <c r="G1440">
        <v>55197</v>
      </c>
    </row>
    <row r="1441" spans="1:7" x14ac:dyDescent="0.25">
      <c r="A1441">
        <v>12066</v>
      </c>
      <c r="B1441" t="s">
        <v>364</v>
      </c>
      <c r="C1441" s="1">
        <v>44827</v>
      </c>
      <c r="D1441" s="1">
        <v>117974</v>
      </c>
      <c r="E1441">
        <v>107558</v>
      </c>
      <c r="F1441">
        <v>52825</v>
      </c>
      <c r="G1441">
        <v>54733</v>
      </c>
    </row>
    <row r="1442" spans="1:7" x14ac:dyDescent="0.25">
      <c r="A1442">
        <v>12067</v>
      </c>
      <c r="B1442" t="s">
        <v>365</v>
      </c>
      <c r="C1442" s="1">
        <v>43831</v>
      </c>
      <c r="D1442" s="1">
        <v>44111</v>
      </c>
      <c r="E1442">
        <v>178658</v>
      </c>
    </row>
    <row r="1443" spans="1:7" x14ac:dyDescent="0.25">
      <c r="A1443">
        <v>12067</v>
      </c>
      <c r="B1443" t="s">
        <v>365</v>
      </c>
      <c r="C1443" s="1">
        <v>44112</v>
      </c>
      <c r="D1443" s="1">
        <v>44433</v>
      </c>
      <c r="E1443">
        <v>178803</v>
      </c>
    </row>
    <row r="1444" spans="1:7" x14ac:dyDescent="0.25">
      <c r="A1444">
        <v>12067</v>
      </c>
      <c r="B1444" t="s">
        <v>365</v>
      </c>
      <c r="C1444" s="1">
        <v>44434</v>
      </c>
      <c r="D1444" s="1">
        <v>44826</v>
      </c>
      <c r="E1444">
        <v>179276</v>
      </c>
      <c r="F1444">
        <v>87851</v>
      </c>
      <c r="G1444">
        <v>91425</v>
      </c>
    </row>
    <row r="1445" spans="1:7" x14ac:dyDescent="0.25">
      <c r="A1445">
        <v>12067</v>
      </c>
      <c r="B1445" t="s">
        <v>365</v>
      </c>
      <c r="C1445" s="1">
        <v>44827</v>
      </c>
      <c r="D1445" s="1">
        <v>117974</v>
      </c>
      <c r="E1445">
        <v>179245</v>
      </c>
      <c r="F1445">
        <v>87756</v>
      </c>
      <c r="G1445">
        <v>91489</v>
      </c>
    </row>
    <row r="1446" spans="1:7" x14ac:dyDescent="0.25">
      <c r="A1446">
        <v>12068</v>
      </c>
      <c r="B1446" t="s">
        <v>366</v>
      </c>
      <c r="C1446" s="1">
        <v>43831</v>
      </c>
      <c r="D1446" s="1">
        <v>44111</v>
      </c>
      <c r="E1446">
        <v>99078</v>
      </c>
    </row>
    <row r="1447" spans="1:7" x14ac:dyDescent="0.25">
      <c r="A1447">
        <v>12068</v>
      </c>
      <c r="B1447" t="s">
        <v>366</v>
      </c>
      <c r="C1447" s="1">
        <v>44112</v>
      </c>
      <c r="D1447" s="1">
        <v>44433</v>
      </c>
      <c r="E1447">
        <v>98861</v>
      </c>
    </row>
    <row r="1448" spans="1:7" x14ac:dyDescent="0.25">
      <c r="A1448">
        <v>12068</v>
      </c>
      <c r="B1448" t="s">
        <v>366</v>
      </c>
      <c r="C1448" s="1">
        <v>44434</v>
      </c>
      <c r="D1448" s="1">
        <v>44826</v>
      </c>
      <c r="E1448">
        <v>98808</v>
      </c>
      <c r="F1448">
        <v>49079</v>
      </c>
      <c r="G1448">
        <v>49729</v>
      </c>
    </row>
    <row r="1449" spans="1:7" x14ac:dyDescent="0.25">
      <c r="A1449">
        <v>12068</v>
      </c>
      <c r="B1449" t="s">
        <v>366</v>
      </c>
      <c r="C1449" s="1">
        <v>44827</v>
      </c>
      <c r="D1449" s="1">
        <v>117974</v>
      </c>
      <c r="E1449">
        <v>98829</v>
      </c>
      <c r="F1449">
        <v>49177</v>
      </c>
      <c r="G1449">
        <v>49652</v>
      </c>
    </row>
    <row r="1450" spans="1:7" x14ac:dyDescent="0.25">
      <c r="A1450">
        <v>12069</v>
      </c>
      <c r="B1450" t="s">
        <v>367</v>
      </c>
      <c r="C1450" s="1">
        <v>43831</v>
      </c>
      <c r="D1450" s="1">
        <v>44111</v>
      </c>
      <c r="E1450">
        <v>214664</v>
      </c>
    </row>
    <row r="1451" spans="1:7" x14ac:dyDescent="0.25">
      <c r="A1451">
        <v>12069</v>
      </c>
      <c r="B1451" t="s">
        <v>367</v>
      </c>
      <c r="C1451" s="1">
        <v>44112</v>
      </c>
      <c r="D1451" s="1">
        <v>44433</v>
      </c>
      <c r="E1451">
        <v>216566</v>
      </c>
    </row>
    <row r="1452" spans="1:7" x14ac:dyDescent="0.25">
      <c r="A1452">
        <v>12069</v>
      </c>
      <c r="B1452" t="s">
        <v>367</v>
      </c>
      <c r="C1452" s="1">
        <v>44434</v>
      </c>
      <c r="D1452" s="1">
        <v>44826</v>
      </c>
      <c r="E1452">
        <v>217954</v>
      </c>
      <c r="F1452">
        <v>107877</v>
      </c>
      <c r="G1452">
        <v>110077</v>
      </c>
    </row>
    <row r="1453" spans="1:7" x14ac:dyDescent="0.25">
      <c r="A1453">
        <v>12069</v>
      </c>
      <c r="B1453" t="s">
        <v>367</v>
      </c>
      <c r="C1453" s="1">
        <v>44827</v>
      </c>
      <c r="D1453" s="1">
        <v>117974</v>
      </c>
      <c r="E1453">
        <v>219521</v>
      </c>
      <c r="F1453">
        <v>108577</v>
      </c>
      <c r="G1453">
        <v>110944</v>
      </c>
    </row>
    <row r="1454" spans="1:7" x14ac:dyDescent="0.25">
      <c r="A1454">
        <v>12070</v>
      </c>
      <c r="B1454" t="s">
        <v>368</v>
      </c>
      <c r="C1454" s="1">
        <v>43831</v>
      </c>
      <c r="D1454" s="1">
        <v>44111</v>
      </c>
      <c r="E1454">
        <v>76508</v>
      </c>
    </row>
    <row r="1455" spans="1:7" x14ac:dyDescent="0.25">
      <c r="A1455">
        <v>12070</v>
      </c>
      <c r="B1455" t="s">
        <v>368</v>
      </c>
      <c r="C1455" s="1">
        <v>44112</v>
      </c>
      <c r="D1455" s="1">
        <v>44433</v>
      </c>
      <c r="E1455">
        <v>76158</v>
      </c>
    </row>
    <row r="1456" spans="1:7" x14ac:dyDescent="0.25">
      <c r="A1456">
        <v>12070</v>
      </c>
      <c r="B1456" t="s">
        <v>368</v>
      </c>
      <c r="C1456" s="1">
        <v>44434</v>
      </c>
      <c r="D1456" s="1">
        <v>44826</v>
      </c>
      <c r="E1456">
        <v>76096</v>
      </c>
      <c r="F1456">
        <v>37759</v>
      </c>
      <c r="G1456">
        <v>38337</v>
      </c>
    </row>
    <row r="1457" spans="1:7" x14ac:dyDescent="0.25">
      <c r="A1457">
        <v>12070</v>
      </c>
      <c r="B1457" t="s">
        <v>368</v>
      </c>
      <c r="C1457" s="1">
        <v>44827</v>
      </c>
      <c r="D1457" s="1">
        <v>117974</v>
      </c>
      <c r="E1457">
        <v>75574</v>
      </c>
      <c r="F1457">
        <v>37448</v>
      </c>
      <c r="G1457">
        <v>38126</v>
      </c>
    </row>
    <row r="1458" spans="1:7" x14ac:dyDescent="0.25">
      <c r="A1458">
        <v>12071</v>
      </c>
      <c r="B1458" t="s">
        <v>369</v>
      </c>
      <c r="C1458" s="1">
        <v>43831</v>
      </c>
      <c r="D1458" s="1">
        <v>44111</v>
      </c>
      <c r="E1458">
        <v>114429</v>
      </c>
    </row>
    <row r="1459" spans="1:7" x14ac:dyDescent="0.25">
      <c r="A1459">
        <v>12071</v>
      </c>
      <c r="B1459" t="s">
        <v>369</v>
      </c>
      <c r="C1459" s="1">
        <v>44112</v>
      </c>
      <c r="D1459" s="1">
        <v>44433</v>
      </c>
      <c r="E1459">
        <v>113720</v>
      </c>
    </row>
    <row r="1460" spans="1:7" x14ac:dyDescent="0.25">
      <c r="A1460">
        <v>12071</v>
      </c>
      <c r="B1460" t="s">
        <v>369</v>
      </c>
      <c r="C1460" s="1">
        <v>44434</v>
      </c>
      <c r="D1460" s="1">
        <v>44826</v>
      </c>
      <c r="E1460">
        <v>113011</v>
      </c>
      <c r="F1460">
        <v>55469</v>
      </c>
      <c r="G1460">
        <v>57542</v>
      </c>
    </row>
    <row r="1461" spans="1:7" x14ac:dyDescent="0.25">
      <c r="A1461">
        <v>12071</v>
      </c>
      <c r="B1461" t="s">
        <v>369</v>
      </c>
      <c r="C1461" s="1">
        <v>44827</v>
      </c>
      <c r="D1461" s="1">
        <v>117974</v>
      </c>
      <c r="E1461">
        <v>111955</v>
      </c>
      <c r="F1461">
        <v>54945</v>
      </c>
      <c r="G1461">
        <v>57010</v>
      </c>
    </row>
    <row r="1462" spans="1:7" x14ac:dyDescent="0.25">
      <c r="A1462">
        <v>12072</v>
      </c>
      <c r="B1462" t="s">
        <v>370</v>
      </c>
      <c r="C1462" s="1">
        <v>43831</v>
      </c>
      <c r="D1462" s="1">
        <v>44111</v>
      </c>
      <c r="E1462">
        <v>168296</v>
      </c>
    </row>
    <row r="1463" spans="1:7" x14ac:dyDescent="0.25">
      <c r="A1463">
        <v>12072</v>
      </c>
      <c r="B1463" t="s">
        <v>370</v>
      </c>
      <c r="C1463" s="1">
        <v>44112</v>
      </c>
      <c r="D1463" s="1">
        <v>44433</v>
      </c>
      <c r="E1463">
        <v>169997</v>
      </c>
    </row>
    <row r="1464" spans="1:7" x14ac:dyDescent="0.25">
      <c r="A1464">
        <v>12072</v>
      </c>
      <c r="B1464" t="s">
        <v>370</v>
      </c>
      <c r="C1464" s="1">
        <v>44434</v>
      </c>
      <c r="D1464" s="1">
        <v>44826</v>
      </c>
      <c r="E1464">
        <v>171554</v>
      </c>
      <c r="F1464">
        <v>85609</v>
      </c>
      <c r="G1464">
        <v>85945</v>
      </c>
    </row>
    <row r="1465" spans="1:7" x14ac:dyDescent="0.25">
      <c r="A1465">
        <v>12072</v>
      </c>
      <c r="B1465" t="s">
        <v>370</v>
      </c>
      <c r="C1465" s="1">
        <v>44827</v>
      </c>
      <c r="D1465" s="1">
        <v>117974</v>
      </c>
      <c r="E1465">
        <v>172545</v>
      </c>
      <c r="F1465">
        <v>86006</v>
      </c>
      <c r="G1465">
        <v>86539</v>
      </c>
    </row>
    <row r="1466" spans="1:7" x14ac:dyDescent="0.25">
      <c r="A1466">
        <v>12073</v>
      </c>
      <c r="B1466" t="s">
        <v>371</v>
      </c>
      <c r="C1466" s="1">
        <v>43831</v>
      </c>
      <c r="D1466" s="1">
        <v>44111</v>
      </c>
      <c r="E1466">
        <v>119552</v>
      </c>
    </row>
    <row r="1467" spans="1:7" x14ac:dyDescent="0.25">
      <c r="A1467">
        <v>12073</v>
      </c>
      <c r="B1467" t="s">
        <v>371</v>
      </c>
      <c r="C1467" s="1">
        <v>44112</v>
      </c>
      <c r="D1467" s="1">
        <v>44433</v>
      </c>
      <c r="E1467">
        <v>118947</v>
      </c>
    </row>
    <row r="1468" spans="1:7" x14ac:dyDescent="0.25">
      <c r="A1468">
        <v>12073</v>
      </c>
      <c r="B1468" t="s">
        <v>371</v>
      </c>
      <c r="C1468" s="1">
        <v>44434</v>
      </c>
      <c r="D1468" s="1">
        <v>44826</v>
      </c>
      <c r="E1468">
        <v>118250</v>
      </c>
      <c r="F1468">
        <v>57998</v>
      </c>
      <c r="G1468">
        <v>60252</v>
      </c>
    </row>
    <row r="1469" spans="1:7" x14ac:dyDescent="0.25">
      <c r="A1469">
        <v>12073</v>
      </c>
      <c r="B1469" t="s">
        <v>371</v>
      </c>
      <c r="C1469" s="1">
        <v>44827</v>
      </c>
      <c r="D1469" s="1">
        <v>117974</v>
      </c>
      <c r="E1469">
        <v>117336</v>
      </c>
      <c r="F1469">
        <v>57387</v>
      </c>
      <c r="G1469">
        <v>59949</v>
      </c>
    </row>
    <row r="1470" spans="1:7" x14ac:dyDescent="0.25">
      <c r="A1470">
        <v>13</v>
      </c>
      <c r="B1470" t="s">
        <v>372</v>
      </c>
      <c r="C1470" s="1">
        <v>43831</v>
      </c>
      <c r="D1470" s="1">
        <v>44111</v>
      </c>
      <c r="E1470">
        <v>1609675</v>
      </c>
    </row>
    <row r="1471" spans="1:7" x14ac:dyDescent="0.25">
      <c r="A1471">
        <v>13</v>
      </c>
      <c r="B1471" t="s">
        <v>372</v>
      </c>
      <c r="C1471" s="1">
        <v>44112</v>
      </c>
      <c r="D1471" s="1">
        <v>44433</v>
      </c>
      <c r="E1471">
        <v>1608138</v>
      </c>
    </row>
    <row r="1472" spans="1:7" x14ac:dyDescent="0.25">
      <c r="A1472">
        <v>13</v>
      </c>
      <c r="B1472" t="s">
        <v>372</v>
      </c>
      <c r="C1472" s="1">
        <v>44434</v>
      </c>
      <c r="D1472" s="1">
        <v>44826</v>
      </c>
      <c r="E1472">
        <v>1610774</v>
      </c>
      <c r="F1472">
        <v>793537</v>
      </c>
      <c r="G1472">
        <v>817237</v>
      </c>
    </row>
    <row r="1473" spans="1:7" x14ac:dyDescent="0.25">
      <c r="A1473">
        <v>13</v>
      </c>
      <c r="B1473" t="s">
        <v>372</v>
      </c>
      <c r="C1473" s="1">
        <v>44827</v>
      </c>
      <c r="D1473" s="1">
        <v>117974</v>
      </c>
      <c r="E1473">
        <v>1611160</v>
      </c>
      <c r="F1473">
        <v>793443</v>
      </c>
      <c r="G1473">
        <v>817717</v>
      </c>
    </row>
    <row r="1474" spans="1:7" x14ac:dyDescent="0.25">
      <c r="A1474">
        <v>13003</v>
      </c>
      <c r="B1474" t="s">
        <v>373</v>
      </c>
      <c r="C1474" s="1">
        <v>43831</v>
      </c>
      <c r="D1474" s="1">
        <v>44111</v>
      </c>
      <c r="E1474">
        <v>208886</v>
      </c>
    </row>
    <row r="1475" spans="1:7" x14ac:dyDescent="0.25">
      <c r="A1475">
        <v>13003</v>
      </c>
      <c r="B1475" t="s">
        <v>373</v>
      </c>
      <c r="C1475" s="1">
        <v>44112</v>
      </c>
      <c r="D1475" s="1">
        <v>44433</v>
      </c>
      <c r="E1475">
        <v>209191</v>
      </c>
    </row>
    <row r="1476" spans="1:7" x14ac:dyDescent="0.25">
      <c r="A1476">
        <v>13003</v>
      </c>
      <c r="B1476" t="s">
        <v>373</v>
      </c>
      <c r="C1476" s="1">
        <v>44434</v>
      </c>
      <c r="D1476" s="1">
        <v>44826</v>
      </c>
      <c r="E1476">
        <v>209061</v>
      </c>
      <c r="F1476">
        <v>102963</v>
      </c>
      <c r="G1476">
        <v>106098</v>
      </c>
    </row>
    <row r="1477" spans="1:7" x14ac:dyDescent="0.25">
      <c r="A1477">
        <v>13003</v>
      </c>
      <c r="B1477" t="s">
        <v>373</v>
      </c>
      <c r="C1477" s="1">
        <v>44827</v>
      </c>
      <c r="D1477" s="1">
        <v>117974</v>
      </c>
      <c r="E1477">
        <v>208400</v>
      </c>
      <c r="F1477">
        <v>102559</v>
      </c>
      <c r="G1477">
        <v>105841</v>
      </c>
    </row>
    <row r="1478" spans="1:7" x14ac:dyDescent="0.25">
      <c r="A1478">
        <v>13004</v>
      </c>
      <c r="B1478" t="s">
        <v>374</v>
      </c>
      <c r="C1478" s="1">
        <v>43831</v>
      </c>
      <c r="D1478" s="1">
        <v>44111</v>
      </c>
      <c r="E1478">
        <v>95818</v>
      </c>
    </row>
    <row r="1479" spans="1:7" x14ac:dyDescent="0.25">
      <c r="A1479">
        <v>13004</v>
      </c>
      <c r="B1479" t="s">
        <v>374</v>
      </c>
      <c r="C1479" s="1">
        <v>44112</v>
      </c>
      <c r="D1479" s="1">
        <v>44433</v>
      </c>
      <c r="E1479">
        <v>95653</v>
      </c>
    </row>
    <row r="1480" spans="1:7" x14ac:dyDescent="0.25">
      <c r="A1480">
        <v>13004</v>
      </c>
      <c r="B1480" t="s">
        <v>374</v>
      </c>
      <c r="C1480" s="1">
        <v>44434</v>
      </c>
      <c r="D1480" s="1">
        <v>44826</v>
      </c>
      <c r="E1480">
        <v>95609</v>
      </c>
      <c r="F1480">
        <v>45919</v>
      </c>
      <c r="G1480">
        <v>49690</v>
      </c>
    </row>
    <row r="1481" spans="1:7" x14ac:dyDescent="0.25">
      <c r="A1481">
        <v>13004</v>
      </c>
      <c r="B1481" t="s">
        <v>374</v>
      </c>
      <c r="C1481" s="1">
        <v>44827</v>
      </c>
      <c r="D1481" s="1">
        <v>117974</v>
      </c>
      <c r="E1481">
        <v>95740</v>
      </c>
      <c r="F1481">
        <v>45944</v>
      </c>
      <c r="G1481">
        <v>49796</v>
      </c>
    </row>
    <row r="1482" spans="1:7" x14ac:dyDescent="0.25">
      <c r="A1482">
        <v>13071</v>
      </c>
      <c r="B1482" t="s">
        <v>375</v>
      </c>
      <c r="C1482" s="1">
        <v>43831</v>
      </c>
      <c r="D1482" s="1">
        <v>44111</v>
      </c>
      <c r="E1482">
        <v>259130</v>
      </c>
    </row>
    <row r="1483" spans="1:7" x14ac:dyDescent="0.25">
      <c r="A1483">
        <v>13071</v>
      </c>
      <c r="B1483" t="s">
        <v>375</v>
      </c>
      <c r="C1483" s="1">
        <v>44112</v>
      </c>
      <c r="D1483" s="1">
        <v>44433</v>
      </c>
      <c r="E1483">
        <v>258074</v>
      </c>
    </row>
    <row r="1484" spans="1:7" x14ac:dyDescent="0.25">
      <c r="A1484">
        <v>13071</v>
      </c>
      <c r="B1484" t="s">
        <v>375</v>
      </c>
      <c r="C1484" s="1">
        <v>44434</v>
      </c>
      <c r="D1484" s="1">
        <v>44826</v>
      </c>
      <c r="E1484">
        <v>258057</v>
      </c>
      <c r="F1484">
        <v>126653</v>
      </c>
      <c r="G1484">
        <v>131404</v>
      </c>
    </row>
    <row r="1485" spans="1:7" x14ac:dyDescent="0.25">
      <c r="A1485">
        <v>13071</v>
      </c>
      <c r="B1485" t="s">
        <v>375</v>
      </c>
      <c r="C1485" s="1">
        <v>44827</v>
      </c>
      <c r="D1485" s="1">
        <v>117974</v>
      </c>
      <c r="E1485">
        <v>257525</v>
      </c>
      <c r="F1485">
        <v>126475</v>
      </c>
      <c r="G1485">
        <v>131050</v>
      </c>
    </row>
    <row r="1486" spans="1:7" x14ac:dyDescent="0.25">
      <c r="A1486">
        <v>13072</v>
      </c>
      <c r="B1486" t="s">
        <v>376</v>
      </c>
      <c r="C1486" s="1">
        <v>43831</v>
      </c>
      <c r="D1486" s="1">
        <v>44111</v>
      </c>
      <c r="E1486">
        <v>215113</v>
      </c>
    </row>
    <row r="1487" spans="1:7" x14ac:dyDescent="0.25">
      <c r="A1487">
        <v>13072</v>
      </c>
      <c r="B1487" t="s">
        <v>376</v>
      </c>
      <c r="C1487" s="1">
        <v>44112</v>
      </c>
      <c r="D1487" s="1">
        <v>44433</v>
      </c>
      <c r="E1487">
        <v>215794</v>
      </c>
    </row>
    <row r="1488" spans="1:7" x14ac:dyDescent="0.25">
      <c r="A1488">
        <v>13072</v>
      </c>
      <c r="B1488" t="s">
        <v>376</v>
      </c>
      <c r="C1488" s="1">
        <v>44434</v>
      </c>
      <c r="D1488" s="1">
        <v>44826</v>
      </c>
      <c r="E1488">
        <v>217072</v>
      </c>
      <c r="F1488">
        <v>107764</v>
      </c>
      <c r="G1488">
        <v>109308</v>
      </c>
    </row>
    <row r="1489" spans="1:7" x14ac:dyDescent="0.25">
      <c r="A1489">
        <v>13072</v>
      </c>
      <c r="B1489" t="s">
        <v>376</v>
      </c>
      <c r="C1489" s="1">
        <v>44827</v>
      </c>
      <c r="D1489" s="1">
        <v>117974</v>
      </c>
      <c r="E1489">
        <v>217796</v>
      </c>
      <c r="F1489">
        <v>108035</v>
      </c>
      <c r="G1489">
        <v>109761</v>
      </c>
    </row>
    <row r="1490" spans="1:7" x14ac:dyDescent="0.25">
      <c r="A1490">
        <v>13073</v>
      </c>
      <c r="B1490" t="s">
        <v>377</v>
      </c>
      <c r="C1490" s="1">
        <v>43831</v>
      </c>
      <c r="D1490" s="1">
        <v>44111</v>
      </c>
      <c r="E1490">
        <v>224684</v>
      </c>
    </row>
    <row r="1491" spans="1:7" x14ac:dyDescent="0.25">
      <c r="A1491">
        <v>13073</v>
      </c>
      <c r="B1491" t="s">
        <v>377</v>
      </c>
      <c r="C1491" s="1">
        <v>44112</v>
      </c>
      <c r="D1491" s="1">
        <v>44433</v>
      </c>
      <c r="E1491">
        <v>224702</v>
      </c>
    </row>
    <row r="1492" spans="1:7" x14ac:dyDescent="0.25">
      <c r="A1492">
        <v>13073</v>
      </c>
      <c r="B1492" t="s">
        <v>377</v>
      </c>
      <c r="C1492" s="1">
        <v>44434</v>
      </c>
      <c r="D1492" s="1">
        <v>44826</v>
      </c>
      <c r="E1492">
        <v>225383</v>
      </c>
      <c r="F1492">
        <v>110540</v>
      </c>
      <c r="G1492">
        <v>114843</v>
      </c>
    </row>
    <row r="1493" spans="1:7" x14ac:dyDescent="0.25">
      <c r="A1493">
        <v>13073</v>
      </c>
      <c r="B1493" t="s">
        <v>377</v>
      </c>
      <c r="C1493" s="1">
        <v>44827</v>
      </c>
      <c r="D1493" s="1">
        <v>117974</v>
      </c>
      <c r="E1493">
        <v>225900</v>
      </c>
      <c r="F1493">
        <v>110687</v>
      </c>
      <c r="G1493">
        <v>115213</v>
      </c>
    </row>
    <row r="1494" spans="1:7" x14ac:dyDescent="0.25">
      <c r="A1494">
        <v>13074</v>
      </c>
      <c r="B1494" t="s">
        <v>378</v>
      </c>
      <c r="C1494" s="1">
        <v>43831</v>
      </c>
      <c r="D1494" s="1">
        <v>44111</v>
      </c>
      <c r="E1494">
        <v>156729</v>
      </c>
    </row>
    <row r="1495" spans="1:7" x14ac:dyDescent="0.25">
      <c r="A1495">
        <v>13074</v>
      </c>
      <c r="B1495" t="s">
        <v>378</v>
      </c>
      <c r="C1495" s="1">
        <v>44112</v>
      </c>
      <c r="D1495" s="1">
        <v>44433</v>
      </c>
      <c r="E1495">
        <v>157322</v>
      </c>
    </row>
    <row r="1496" spans="1:7" x14ac:dyDescent="0.25">
      <c r="A1496">
        <v>13074</v>
      </c>
      <c r="B1496" t="s">
        <v>378</v>
      </c>
      <c r="C1496" s="1">
        <v>44434</v>
      </c>
      <c r="D1496" s="1">
        <v>44826</v>
      </c>
      <c r="E1496">
        <v>157975</v>
      </c>
      <c r="F1496">
        <v>78524</v>
      </c>
      <c r="G1496">
        <v>79451</v>
      </c>
    </row>
    <row r="1497" spans="1:7" x14ac:dyDescent="0.25">
      <c r="A1497">
        <v>13074</v>
      </c>
      <c r="B1497" t="s">
        <v>378</v>
      </c>
      <c r="C1497" s="1">
        <v>44827</v>
      </c>
      <c r="D1497" s="1">
        <v>117974</v>
      </c>
      <c r="E1497">
        <v>158449</v>
      </c>
      <c r="F1497">
        <v>78839</v>
      </c>
      <c r="G1497">
        <v>79610</v>
      </c>
    </row>
    <row r="1498" spans="1:7" x14ac:dyDescent="0.25">
      <c r="A1498">
        <v>13075</v>
      </c>
      <c r="B1498" t="s">
        <v>379</v>
      </c>
      <c r="C1498" s="1">
        <v>43831</v>
      </c>
      <c r="D1498" s="1">
        <v>44111</v>
      </c>
      <c r="E1498">
        <v>236697</v>
      </c>
    </row>
    <row r="1499" spans="1:7" x14ac:dyDescent="0.25">
      <c r="A1499">
        <v>13075</v>
      </c>
      <c r="B1499" t="s">
        <v>379</v>
      </c>
      <c r="C1499" s="1">
        <v>44112</v>
      </c>
      <c r="D1499" s="1">
        <v>44433</v>
      </c>
      <c r="E1499">
        <v>235623</v>
      </c>
    </row>
    <row r="1500" spans="1:7" x14ac:dyDescent="0.25">
      <c r="A1500">
        <v>13075</v>
      </c>
      <c r="B1500" t="s">
        <v>379</v>
      </c>
      <c r="C1500" s="1">
        <v>44434</v>
      </c>
      <c r="D1500" s="1">
        <v>44826</v>
      </c>
      <c r="E1500">
        <v>235773</v>
      </c>
      <c r="F1500">
        <v>115377</v>
      </c>
      <c r="G1500">
        <v>120396</v>
      </c>
    </row>
    <row r="1501" spans="1:7" x14ac:dyDescent="0.25">
      <c r="A1501">
        <v>13075</v>
      </c>
      <c r="B1501" t="s">
        <v>379</v>
      </c>
      <c r="C1501" s="1">
        <v>44827</v>
      </c>
      <c r="D1501" s="1">
        <v>117974</v>
      </c>
      <c r="E1501">
        <v>235451</v>
      </c>
      <c r="F1501">
        <v>115084</v>
      </c>
      <c r="G1501">
        <v>120367</v>
      </c>
    </row>
    <row r="1502" spans="1:7" x14ac:dyDescent="0.25">
      <c r="A1502">
        <v>13076</v>
      </c>
      <c r="B1502" t="s">
        <v>380</v>
      </c>
      <c r="C1502" s="1">
        <v>43831</v>
      </c>
      <c r="D1502" s="1">
        <v>44111</v>
      </c>
      <c r="E1502">
        <v>212618</v>
      </c>
    </row>
    <row r="1503" spans="1:7" x14ac:dyDescent="0.25">
      <c r="A1503">
        <v>13076</v>
      </c>
      <c r="B1503" t="s">
        <v>380</v>
      </c>
      <c r="C1503" s="1">
        <v>44112</v>
      </c>
      <c r="D1503" s="1">
        <v>44433</v>
      </c>
      <c r="E1503">
        <v>211779</v>
      </c>
    </row>
    <row r="1504" spans="1:7" x14ac:dyDescent="0.25">
      <c r="A1504">
        <v>13076</v>
      </c>
      <c r="B1504" t="s">
        <v>380</v>
      </c>
      <c r="C1504" s="1">
        <v>44434</v>
      </c>
      <c r="D1504" s="1">
        <v>44826</v>
      </c>
      <c r="E1504">
        <v>211844</v>
      </c>
      <c r="F1504">
        <v>105797</v>
      </c>
      <c r="G1504">
        <v>106047</v>
      </c>
    </row>
    <row r="1505" spans="1:7" x14ac:dyDescent="0.25">
      <c r="A1505">
        <v>13076</v>
      </c>
      <c r="B1505" t="s">
        <v>380</v>
      </c>
      <c r="C1505" s="1">
        <v>44827</v>
      </c>
      <c r="D1505" s="1">
        <v>117974</v>
      </c>
      <c r="E1505">
        <v>211899</v>
      </c>
      <c r="F1505">
        <v>105820</v>
      </c>
      <c r="G1505">
        <v>106079</v>
      </c>
    </row>
    <row r="1506" spans="1:7" x14ac:dyDescent="0.25">
      <c r="A1506">
        <v>14</v>
      </c>
      <c r="B1506" t="s">
        <v>381</v>
      </c>
      <c r="C1506" s="1">
        <v>43831</v>
      </c>
      <c r="D1506" s="1">
        <v>44111</v>
      </c>
      <c r="E1506">
        <v>4077937</v>
      </c>
    </row>
    <row r="1507" spans="1:7" x14ac:dyDescent="0.25">
      <c r="A1507">
        <v>14</v>
      </c>
      <c r="B1507" t="s">
        <v>381</v>
      </c>
      <c r="C1507" s="1">
        <v>44112</v>
      </c>
      <c r="D1507" s="1">
        <v>44433</v>
      </c>
      <c r="E1507">
        <v>4071971</v>
      </c>
    </row>
    <row r="1508" spans="1:7" x14ac:dyDescent="0.25">
      <c r="A1508">
        <v>14</v>
      </c>
      <c r="B1508" t="s">
        <v>381</v>
      </c>
      <c r="C1508" s="1">
        <v>44434</v>
      </c>
      <c r="D1508" s="1">
        <v>44826</v>
      </c>
      <c r="E1508">
        <v>4056941</v>
      </c>
      <c r="F1508">
        <v>1999026</v>
      </c>
      <c r="G1508">
        <v>2057915</v>
      </c>
    </row>
    <row r="1509" spans="1:7" x14ac:dyDescent="0.25">
      <c r="A1509">
        <v>14</v>
      </c>
      <c r="B1509" t="s">
        <v>381</v>
      </c>
      <c r="C1509" s="1">
        <v>44827</v>
      </c>
      <c r="D1509" s="1">
        <v>117974</v>
      </c>
      <c r="E1509">
        <v>4043002</v>
      </c>
      <c r="F1509">
        <v>1992884</v>
      </c>
      <c r="G1509">
        <v>2050118</v>
      </c>
    </row>
    <row r="1510" spans="1:7" x14ac:dyDescent="0.25">
      <c r="A1510">
        <v>14511</v>
      </c>
      <c r="B1510" t="s">
        <v>382</v>
      </c>
      <c r="C1510" s="1">
        <v>43831</v>
      </c>
      <c r="D1510" s="1">
        <v>44111</v>
      </c>
      <c r="E1510">
        <v>247237</v>
      </c>
    </row>
    <row r="1511" spans="1:7" x14ac:dyDescent="0.25">
      <c r="A1511">
        <v>14511</v>
      </c>
      <c r="B1511" t="s">
        <v>382</v>
      </c>
      <c r="C1511" s="1">
        <v>44112</v>
      </c>
      <c r="D1511" s="1">
        <v>44433</v>
      </c>
      <c r="E1511">
        <v>246334</v>
      </c>
    </row>
    <row r="1512" spans="1:7" x14ac:dyDescent="0.25">
      <c r="A1512">
        <v>14511</v>
      </c>
      <c r="B1512" t="s">
        <v>382</v>
      </c>
      <c r="C1512" s="1">
        <v>44434</v>
      </c>
      <c r="D1512" s="1">
        <v>44826</v>
      </c>
      <c r="E1512">
        <v>244401</v>
      </c>
      <c r="F1512">
        <v>120959</v>
      </c>
      <c r="G1512">
        <v>123442</v>
      </c>
    </row>
    <row r="1513" spans="1:7" x14ac:dyDescent="0.25">
      <c r="A1513">
        <v>14511</v>
      </c>
      <c r="B1513" t="s">
        <v>382</v>
      </c>
      <c r="C1513" s="1">
        <v>44827</v>
      </c>
      <c r="D1513" s="1">
        <v>117974</v>
      </c>
      <c r="E1513">
        <v>243105</v>
      </c>
      <c r="F1513">
        <v>120364</v>
      </c>
      <c r="G1513">
        <v>122741</v>
      </c>
    </row>
    <row r="1514" spans="1:7" x14ac:dyDescent="0.25">
      <c r="A1514">
        <v>14521</v>
      </c>
      <c r="B1514" t="s">
        <v>383</v>
      </c>
      <c r="C1514" s="1">
        <v>43831</v>
      </c>
      <c r="D1514" s="1">
        <v>44111</v>
      </c>
      <c r="E1514">
        <v>337696</v>
      </c>
    </row>
    <row r="1515" spans="1:7" x14ac:dyDescent="0.25">
      <c r="A1515">
        <v>14521</v>
      </c>
      <c r="B1515" t="s">
        <v>383</v>
      </c>
      <c r="C1515" s="1">
        <v>44112</v>
      </c>
      <c r="D1515" s="1">
        <v>44433</v>
      </c>
      <c r="E1515">
        <v>334948</v>
      </c>
    </row>
    <row r="1516" spans="1:7" x14ac:dyDescent="0.25">
      <c r="A1516">
        <v>14521</v>
      </c>
      <c r="B1516" t="s">
        <v>383</v>
      </c>
      <c r="C1516" s="1">
        <v>44434</v>
      </c>
      <c r="D1516" s="1">
        <v>44826</v>
      </c>
      <c r="E1516">
        <v>331917</v>
      </c>
      <c r="F1516">
        <v>162445</v>
      </c>
      <c r="G1516">
        <v>169472</v>
      </c>
    </row>
    <row r="1517" spans="1:7" x14ac:dyDescent="0.25">
      <c r="A1517">
        <v>14521</v>
      </c>
      <c r="B1517" t="s">
        <v>383</v>
      </c>
      <c r="C1517" s="1">
        <v>44827</v>
      </c>
      <c r="D1517" s="1">
        <v>117974</v>
      </c>
      <c r="E1517">
        <v>328695</v>
      </c>
      <c r="F1517">
        <v>160912</v>
      </c>
      <c r="G1517">
        <v>167783</v>
      </c>
    </row>
    <row r="1518" spans="1:7" x14ac:dyDescent="0.25">
      <c r="A1518">
        <v>14522</v>
      </c>
      <c r="B1518" t="s">
        <v>384</v>
      </c>
      <c r="C1518" s="1">
        <v>43831</v>
      </c>
      <c r="D1518" s="1">
        <v>44111</v>
      </c>
      <c r="E1518">
        <v>306185</v>
      </c>
    </row>
    <row r="1519" spans="1:7" x14ac:dyDescent="0.25">
      <c r="A1519">
        <v>14522</v>
      </c>
      <c r="B1519" t="s">
        <v>384</v>
      </c>
      <c r="C1519" s="1">
        <v>44112</v>
      </c>
      <c r="D1519" s="1">
        <v>44433</v>
      </c>
      <c r="E1519">
        <v>304099</v>
      </c>
    </row>
    <row r="1520" spans="1:7" x14ac:dyDescent="0.25">
      <c r="A1520">
        <v>14522</v>
      </c>
      <c r="B1520" t="s">
        <v>384</v>
      </c>
      <c r="C1520" s="1">
        <v>44434</v>
      </c>
      <c r="D1520" s="1">
        <v>44826</v>
      </c>
      <c r="E1520">
        <v>301474</v>
      </c>
      <c r="F1520">
        <v>149895</v>
      </c>
      <c r="G1520">
        <v>151579</v>
      </c>
    </row>
    <row r="1521" spans="1:7" x14ac:dyDescent="0.25">
      <c r="A1521">
        <v>14522</v>
      </c>
      <c r="B1521" t="s">
        <v>384</v>
      </c>
      <c r="C1521" s="1">
        <v>44827</v>
      </c>
      <c r="D1521" s="1">
        <v>117974</v>
      </c>
      <c r="E1521">
        <v>299329</v>
      </c>
      <c r="F1521">
        <v>148921</v>
      </c>
      <c r="G1521">
        <v>150408</v>
      </c>
    </row>
    <row r="1522" spans="1:7" x14ac:dyDescent="0.25">
      <c r="A1522">
        <v>14523</v>
      </c>
      <c r="B1522" t="s">
        <v>385</v>
      </c>
      <c r="C1522" s="1">
        <v>43831</v>
      </c>
      <c r="D1522" s="1">
        <v>44111</v>
      </c>
      <c r="E1522">
        <v>227796</v>
      </c>
    </row>
    <row r="1523" spans="1:7" x14ac:dyDescent="0.25">
      <c r="A1523">
        <v>14523</v>
      </c>
      <c r="B1523" t="s">
        <v>385</v>
      </c>
      <c r="C1523" s="1">
        <v>44112</v>
      </c>
      <c r="D1523" s="1">
        <v>44433</v>
      </c>
      <c r="E1523">
        <v>225997</v>
      </c>
    </row>
    <row r="1524" spans="1:7" x14ac:dyDescent="0.25">
      <c r="A1524">
        <v>14523</v>
      </c>
      <c r="B1524" t="s">
        <v>385</v>
      </c>
      <c r="C1524" s="1">
        <v>44434</v>
      </c>
      <c r="D1524" s="1">
        <v>44826</v>
      </c>
      <c r="E1524">
        <v>223905</v>
      </c>
      <c r="F1524">
        <v>109204</v>
      </c>
      <c r="G1524">
        <v>114701</v>
      </c>
    </row>
    <row r="1525" spans="1:7" x14ac:dyDescent="0.25">
      <c r="A1525">
        <v>14523</v>
      </c>
      <c r="B1525" t="s">
        <v>385</v>
      </c>
      <c r="C1525" s="1">
        <v>44827</v>
      </c>
      <c r="D1525" s="1">
        <v>117974</v>
      </c>
      <c r="E1525">
        <v>221376</v>
      </c>
      <c r="F1525">
        <v>108012</v>
      </c>
      <c r="G1525">
        <v>113364</v>
      </c>
    </row>
    <row r="1526" spans="1:7" x14ac:dyDescent="0.25">
      <c r="A1526">
        <v>14524</v>
      </c>
      <c r="B1526" t="s">
        <v>386</v>
      </c>
      <c r="C1526" s="1">
        <v>43831</v>
      </c>
      <c r="D1526" s="1">
        <v>44111</v>
      </c>
      <c r="E1526">
        <v>317531</v>
      </c>
    </row>
    <row r="1527" spans="1:7" x14ac:dyDescent="0.25">
      <c r="A1527">
        <v>14524</v>
      </c>
      <c r="B1527" t="s">
        <v>386</v>
      </c>
      <c r="C1527" s="1">
        <v>44112</v>
      </c>
      <c r="D1527" s="1">
        <v>44433</v>
      </c>
      <c r="E1527">
        <v>315002</v>
      </c>
    </row>
    <row r="1528" spans="1:7" x14ac:dyDescent="0.25">
      <c r="A1528">
        <v>14524</v>
      </c>
      <c r="B1528" t="s">
        <v>386</v>
      </c>
      <c r="C1528" s="1">
        <v>44434</v>
      </c>
      <c r="D1528" s="1">
        <v>44826</v>
      </c>
      <c r="E1528">
        <v>312033</v>
      </c>
      <c r="F1528">
        <v>152268</v>
      </c>
      <c r="G1528">
        <v>159765</v>
      </c>
    </row>
    <row r="1529" spans="1:7" x14ac:dyDescent="0.25">
      <c r="A1529">
        <v>14524</v>
      </c>
      <c r="B1529" t="s">
        <v>386</v>
      </c>
      <c r="C1529" s="1">
        <v>44827</v>
      </c>
      <c r="D1529" s="1">
        <v>117974</v>
      </c>
      <c r="E1529">
        <v>309621</v>
      </c>
      <c r="F1529">
        <v>151258</v>
      </c>
      <c r="G1529">
        <v>158363</v>
      </c>
    </row>
    <row r="1530" spans="1:7" x14ac:dyDescent="0.25">
      <c r="A1530">
        <v>14612</v>
      </c>
      <c r="B1530" t="s">
        <v>387</v>
      </c>
      <c r="C1530" s="1">
        <v>43831</v>
      </c>
      <c r="D1530" s="1">
        <v>44111</v>
      </c>
      <c r="E1530">
        <v>554649</v>
      </c>
    </row>
    <row r="1531" spans="1:7" x14ac:dyDescent="0.25">
      <c r="A1531">
        <v>14612</v>
      </c>
      <c r="B1531" t="s">
        <v>387</v>
      </c>
      <c r="C1531" s="1">
        <v>44112</v>
      </c>
      <c r="D1531" s="1">
        <v>44433</v>
      </c>
      <c r="E1531">
        <v>556780</v>
      </c>
    </row>
    <row r="1532" spans="1:7" x14ac:dyDescent="0.25">
      <c r="A1532">
        <v>14612</v>
      </c>
      <c r="B1532" t="s">
        <v>387</v>
      </c>
      <c r="C1532" s="1">
        <v>44434</v>
      </c>
      <c r="D1532" s="1">
        <v>44826</v>
      </c>
      <c r="E1532">
        <v>556227</v>
      </c>
      <c r="F1532">
        <v>277060</v>
      </c>
      <c r="G1532">
        <v>279167</v>
      </c>
    </row>
    <row r="1533" spans="1:7" x14ac:dyDescent="0.25">
      <c r="A1533">
        <v>14612</v>
      </c>
      <c r="B1533" t="s">
        <v>387</v>
      </c>
      <c r="C1533" s="1">
        <v>44827</v>
      </c>
      <c r="D1533" s="1">
        <v>117974</v>
      </c>
      <c r="E1533">
        <v>555351</v>
      </c>
      <c r="F1533">
        <v>276419</v>
      </c>
      <c r="G1533">
        <v>278932</v>
      </c>
    </row>
    <row r="1534" spans="1:7" x14ac:dyDescent="0.25">
      <c r="A1534">
        <v>14625</v>
      </c>
      <c r="B1534" t="s">
        <v>388</v>
      </c>
      <c r="C1534" s="1">
        <v>43831</v>
      </c>
      <c r="D1534" s="1">
        <v>44111</v>
      </c>
      <c r="E1534">
        <v>300880</v>
      </c>
    </row>
    <row r="1535" spans="1:7" x14ac:dyDescent="0.25">
      <c r="A1535">
        <v>14625</v>
      </c>
      <c r="B1535" t="s">
        <v>388</v>
      </c>
      <c r="C1535" s="1">
        <v>44112</v>
      </c>
      <c r="D1535" s="1">
        <v>44433</v>
      </c>
      <c r="E1535">
        <v>299758</v>
      </c>
    </row>
    <row r="1536" spans="1:7" x14ac:dyDescent="0.25">
      <c r="A1536">
        <v>14625</v>
      </c>
      <c r="B1536" t="s">
        <v>388</v>
      </c>
      <c r="C1536" s="1">
        <v>44434</v>
      </c>
      <c r="D1536" s="1">
        <v>44826</v>
      </c>
      <c r="E1536">
        <v>298010</v>
      </c>
      <c r="F1536">
        <v>147223</v>
      </c>
      <c r="G1536">
        <v>150787</v>
      </c>
    </row>
    <row r="1537" spans="1:7" x14ac:dyDescent="0.25">
      <c r="A1537">
        <v>14625</v>
      </c>
      <c r="B1537" t="s">
        <v>388</v>
      </c>
      <c r="C1537" s="1">
        <v>44827</v>
      </c>
      <c r="D1537" s="1">
        <v>117974</v>
      </c>
      <c r="E1537">
        <v>296290</v>
      </c>
      <c r="F1537">
        <v>146508</v>
      </c>
      <c r="G1537">
        <v>149782</v>
      </c>
    </row>
    <row r="1538" spans="1:7" x14ac:dyDescent="0.25">
      <c r="A1538">
        <v>14626</v>
      </c>
      <c r="B1538" t="s">
        <v>389</v>
      </c>
      <c r="C1538" s="1">
        <v>43831</v>
      </c>
      <c r="D1538" s="1">
        <v>44111</v>
      </c>
      <c r="E1538">
        <v>254894</v>
      </c>
    </row>
    <row r="1539" spans="1:7" x14ac:dyDescent="0.25">
      <c r="A1539">
        <v>14626</v>
      </c>
      <c r="B1539" t="s">
        <v>389</v>
      </c>
      <c r="C1539" s="1">
        <v>44112</v>
      </c>
      <c r="D1539" s="1">
        <v>44433</v>
      </c>
      <c r="E1539">
        <v>252725</v>
      </c>
    </row>
    <row r="1540" spans="1:7" x14ac:dyDescent="0.25">
      <c r="A1540">
        <v>14626</v>
      </c>
      <c r="B1540" t="s">
        <v>389</v>
      </c>
      <c r="C1540" s="1">
        <v>44434</v>
      </c>
      <c r="D1540" s="1">
        <v>44826</v>
      </c>
      <c r="E1540">
        <v>250558</v>
      </c>
      <c r="F1540">
        <v>122809</v>
      </c>
      <c r="G1540">
        <v>127749</v>
      </c>
    </row>
    <row r="1541" spans="1:7" x14ac:dyDescent="0.25">
      <c r="A1541">
        <v>14626</v>
      </c>
      <c r="B1541" t="s">
        <v>389</v>
      </c>
      <c r="C1541" s="1">
        <v>44827</v>
      </c>
      <c r="D1541" s="1">
        <v>117974</v>
      </c>
      <c r="E1541">
        <v>248273</v>
      </c>
      <c r="F1541">
        <v>121718</v>
      </c>
      <c r="G1541">
        <v>126555</v>
      </c>
    </row>
    <row r="1542" spans="1:7" x14ac:dyDescent="0.25">
      <c r="A1542">
        <v>14627</v>
      </c>
      <c r="B1542" t="s">
        <v>390</v>
      </c>
      <c r="C1542" s="1">
        <v>43831</v>
      </c>
      <c r="D1542" s="1">
        <v>44111</v>
      </c>
      <c r="E1542">
        <v>242165</v>
      </c>
    </row>
    <row r="1543" spans="1:7" x14ac:dyDescent="0.25">
      <c r="A1543">
        <v>14627</v>
      </c>
      <c r="B1543" t="s">
        <v>390</v>
      </c>
      <c r="C1543" s="1">
        <v>44112</v>
      </c>
      <c r="D1543" s="1">
        <v>44433</v>
      </c>
      <c r="E1543">
        <v>241717</v>
      </c>
    </row>
    <row r="1544" spans="1:7" x14ac:dyDescent="0.25">
      <c r="A1544">
        <v>14627</v>
      </c>
      <c r="B1544" t="s">
        <v>390</v>
      </c>
      <c r="C1544" s="1">
        <v>44434</v>
      </c>
      <c r="D1544" s="1">
        <v>44826</v>
      </c>
      <c r="E1544">
        <v>240371</v>
      </c>
      <c r="F1544">
        <v>118149</v>
      </c>
      <c r="G1544">
        <v>122222</v>
      </c>
    </row>
    <row r="1545" spans="1:7" x14ac:dyDescent="0.25">
      <c r="A1545">
        <v>14627</v>
      </c>
      <c r="B1545" t="s">
        <v>390</v>
      </c>
      <c r="C1545" s="1">
        <v>44827</v>
      </c>
      <c r="D1545" s="1">
        <v>117974</v>
      </c>
      <c r="E1545">
        <v>239344</v>
      </c>
      <c r="F1545">
        <v>117560</v>
      </c>
      <c r="G1545">
        <v>121784</v>
      </c>
    </row>
    <row r="1546" spans="1:7" x14ac:dyDescent="0.25">
      <c r="A1546">
        <v>14628</v>
      </c>
      <c r="B1546" t="s">
        <v>391</v>
      </c>
      <c r="C1546" s="1">
        <v>43831</v>
      </c>
      <c r="D1546" s="1">
        <v>44111</v>
      </c>
      <c r="E1546">
        <v>245611</v>
      </c>
    </row>
    <row r="1547" spans="1:7" x14ac:dyDescent="0.25">
      <c r="A1547">
        <v>14628</v>
      </c>
      <c r="B1547" t="s">
        <v>391</v>
      </c>
      <c r="C1547" s="1">
        <v>44112</v>
      </c>
      <c r="D1547" s="1">
        <v>44433</v>
      </c>
      <c r="E1547">
        <v>245586</v>
      </c>
    </row>
    <row r="1548" spans="1:7" x14ac:dyDescent="0.25">
      <c r="A1548">
        <v>14628</v>
      </c>
      <c r="B1548" t="s">
        <v>391</v>
      </c>
      <c r="C1548" s="1">
        <v>44434</v>
      </c>
      <c r="D1548" s="1">
        <v>44826</v>
      </c>
      <c r="E1548">
        <v>244722</v>
      </c>
      <c r="F1548">
        <v>120924</v>
      </c>
      <c r="G1548">
        <v>123798</v>
      </c>
    </row>
    <row r="1549" spans="1:7" x14ac:dyDescent="0.25">
      <c r="A1549">
        <v>14628</v>
      </c>
      <c r="B1549" t="s">
        <v>391</v>
      </c>
      <c r="C1549" s="1">
        <v>44827</v>
      </c>
      <c r="D1549" s="1">
        <v>117974</v>
      </c>
      <c r="E1549">
        <v>244009</v>
      </c>
      <c r="F1549">
        <v>120525</v>
      </c>
      <c r="G1549">
        <v>123484</v>
      </c>
    </row>
    <row r="1550" spans="1:7" x14ac:dyDescent="0.25">
      <c r="A1550">
        <v>14713</v>
      </c>
      <c r="B1550" t="s">
        <v>392</v>
      </c>
      <c r="C1550" s="1">
        <v>43831</v>
      </c>
      <c r="D1550" s="1">
        <v>44111</v>
      </c>
      <c r="E1550">
        <v>587857</v>
      </c>
    </row>
    <row r="1551" spans="1:7" x14ac:dyDescent="0.25">
      <c r="A1551">
        <v>14713</v>
      </c>
      <c r="B1551" t="s">
        <v>392</v>
      </c>
      <c r="C1551" s="1">
        <v>44112</v>
      </c>
      <c r="D1551" s="1">
        <v>44433</v>
      </c>
      <c r="E1551">
        <v>593145</v>
      </c>
    </row>
    <row r="1552" spans="1:7" x14ac:dyDescent="0.25">
      <c r="A1552">
        <v>14713</v>
      </c>
      <c r="B1552" t="s">
        <v>392</v>
      </c>
      <c r="C1552" s="1">
        <v>44434</v>
      </c>
      <c r="D1552" s="1">
        <v>44826</v>
      </c>
      <c r="E1552">
        <v>597493</v>
      </c>
      <c r="F1552">
        <v>293522</v>
      </c>
      <c r="G1552">
        <v>303971</v>
      </c>
    </row>
    <row r="1553" spans="1:7" x14ac:dyDescent="0.25">
      <c r="A1553">
        <v>14713</v>
      </c>
      <c r="B1553" t="s">
        <v>392</v>
      </c>
      <c r="C1553" s="1">
        <v>44827</v>
      </c>
      <c r="D1553" s="1">
        <v>117974</v>
      </c>
      <c r="E1553">
        <v>601866</v>
      </c>
      <c r="F1553">
        <v>296110</v>
      </c>
      <c r="G1553">
        <v>305756</v>
      </c>
    </row>
    <row r="1554" spans="1:7" x14ac:dyDescent="0.25">
      <c r="A1554">
        <v>14729</v>
      </c>
      <c r="B1554" t="s">
        <v>393</v>
      </c>
      <c r="C1554" s="1">
        <v>43831</v>
      </c>
      <c r="D1554" s="1">
        <v>44111</v>
      </c>
      <c r="E1554">
        <v>257763</v>
      </c>
    </row>
    <row r="1555" spans="1:7" x14ac:dyDescent="0.25">
      <c r="A1555">
        <v>14729</v>
      </c>
      <c r="B1555" t="s">
        <v>393</v>
      </c>
      <c r="C1555" s="1">
        <v>44112</v>
      </c>
      <c r="D1555" s="1">
        <v>44433</v>
      </c>
      <c r="E1555">
        <v>258139</v>
      </c>
    </row>
    <row r="1556" spans="1:7" x14ac:dyDescent="0.25">
      <c r="A1556">
        <v>14729</v>
      </c>
      <c r="B1556" t="s">
        <v>393</v>
      </c>
      <c r="C1556" s="1">
        <v>44434</v>
      </c>
      <c r="D1556" s="1">
        <v>44826</v>
      </c>
      <c r="E1556">
        <v>258386</v>
      </c>
      <c r="F1556">
        <v>126643</v>
      </c>
      <c r="G1556">
        <v>131743</v>
      </c>
    </row>
    <row r="1557" spans="1:7" x14ac:dyDescent="0.25">
      <c r="A1557">
        <v>14729</v>
      </c>
      <c r="B1557" t="s">
        <v>393</v>
      </c>
      <c r="C1557" s="1">
        <v>44827</v>
      </c>
      <c r="D1557" s="1">
        <v>117974</v>
      </c>
      <c r="E1557">
        <v>258214</v>
      </c>
      <c r="F1557">
        <v>126602</v>
      </c>
      <c r="G1557">
        <v>131612</v>
      </c>
    </row>
    <row r="1558" spans="1:7" x14ac:dyDescent="0.25">
      <c r="A1558">
        <v>14730</v>
      </c>
      <c r="B1558" t="s">
        <v>394</v>
      </c>
      <c r="C1558" s="1">
        <v>43831</v>
      </c>
      <c r="D1558" s="1">
        <v>44111</v>
      </c>
      <c r="E1558">
        <v>197673</v>
      </c>
    </row>
    <row r="1559" spans="1:7" x14ac:dyDescent="0.25">
      <c r="A1559">
        <v>14730</v>
      </c>
      <c r="B1559" t="s">
        <v>394</v>
      </c>
      <c r="C1559" s="1">
        <v>44112</v>
      </c>
      <c r="D1559" s="1">
        <v>44433</v>
      </c>
      <c r="E1559">
        <v>197741</v>
      </c>
    </row>
    <row r="1560" spans="1:7" x14ac:dyDescent="0.25">
      <c r="A1560">
        <v>14730</v>
      </c>
      <c r="B1560" t="s">
        <v>394</v>
      </c>
      <c r="C1560" s="1">
        <v>44434</v>
      </c>
      <c r="D1560" s="1">
        <v>44826</v>
      </c>
      <c r="E1560">
        <v>197444</v>
      </c>
      <c r="F1560">
        <v>97925</v>
      </c>
      <c r="G1560">
        <v>99519</v>
      </c>
    </row>
    <row r="1561" spans="1:7" x14ac:dyDescent="0.25">
      <c r="A1561">
        <v>14730</v>
      </c>
      <c r="B1561" t="s">
        <v>394</v>
      </c>
      <c r="C1561" s="1">
        <v>44827</v>
      </c>
      <c r="D1561" s="1">
        <v>117974</v>
      </c>
      <c r="E1561">
        <v>197529</v>
      </c>
      <c r="F1561">
        <v>97975</v>
      </c>
      <c r="G1561">
        <v>99554</v>
      </c>
    </row>
    <row r="1562" spans="1:7" x14ac:dyDescent="0.25">
      <c r="A1562">
        <v>15</v>
      </c>
      <c r="B1562" t="s">
        <v>395</v>
      </c>
      <c r="C1562" s="1">
        <v>43831</v>
      </c>
      <c r="D1562" s="1">
        <v>44111</v>
      </c>
      <c r="E1562">
        <v>2208321</v>
      </c>
    </row>
    <row r="1563" spans="1:7" x14ac:dyDescent="0.25">
      <c r="A1563">
        <v>15</v>
      </c>
      <c r="B1563" t="s">
        <v>395</v>
      </c>
      <c r="C1563" s="1">
        <v>44112</v>
      </c>
      <c r="D1563" s="1">
        <v>44433</v>
      </c>
      <c r="E1563">
        <v>2194782</v>
      </c>
    </row>
    <row r="1564" spans="1:7" x14ac:dyDescent="0.25">
      <c r="A1564">
        <v>15</v>
      </c>
      <c r="B1564" t="s">
        <v>395</v>
      </c>
      <c r="C1564" s="1">
        <v>44434</v>
      </c>
      <c r="D1564" s="1">
        <v>44826</v>
      </c>
      <c r="E1564">
        <v>2180684</v>
      </c>
      <c r="F1564">
        <v>1072595</v>
      </c>
      <c r="G1564">
        <v>1108089</v>
      </c>
    </row>
    <row r="1565" spans="1:7" x14ac:dyDescent="0.25">
      <c r="A1565">
        <v>15</v>
      </c>
      <c r="B1565" t="s">
        <v>395</v>
      </c>
      <c r="C1565" s="1">
        <v>44827</v>
      </c>
      <c r="D1565" s="1">
        <v>117974</v>
      </c>
      <c r="E1565">
        <v>2169253</v>
      </c>
      <c r="F1565">
        <v>1067143</v>
      </c>
      <c r="G1565">
        <v>1102110</v>
      </c>
    </row>
    <row r="1566" spans="1:7" x14ac:dyDescent="0.25">
      <c r="A1566">
        <v>15001</v>
      </c>
      <c r="B1566" t="s">
        <v>396</v>
      </c>
      <c r="C1566" s="1">
        <v>43831</v>
      </c>
      <c r="D1566" s="1">
        <v>44111</v>
      </c>
      <c r="E1566">
        <v>81237</v>
      </c>
    </row>
    <row r="1567" spans="1:7" x14ac:dyDescent="0.25">
      <c r="A1567">
        <v>15001</v>
      </c>
      <c r="B1567" t="s">
        <v>396</v>
      </c>
      <c r="C1567" s="1">
        <v>44112</v>
      </c>
      <c r="D1567" s="1">
        <v>44433</v>
      </c>
      <c r="E1567">
        <v>80103</v>
      </c>
    </row>
    <row r="1568" spans="1:7" x14ac:dyDescent="0.25">
      <c r="A1568">
        <v>15001</v>
      </c>
      <c r="B1568" t="s">
        <v>396</v>
      </c>
      <c r="C1568" s="1">
        <v>44434</v>
      </c>
      <c r="D1568" s="1">
        <v>44826</v>
      </c>
      <c r="E1568">
        <v>79354</v>
      </c>
      <c r="F1568">
        <v>38522</v>
      </c>
      <c r="G1568">
        <v>40832</v>
      </c>
    </row>
    <row r="1569" spans="1:7" x14ac:dyDescent="0.25">
      <c r="A1569">
        <v>15001</v>
      </c>
      <c r="B1569" t="s">
        <v>396</v>
      </c>
      <c r="C1569" s="1">
        <v>44827</v>
      </c>
      <c r="D1569" s="1">
        <v>117974</v>
      </c>
      <c r="E1569">
        <v>78731</v>
      </c>
      <c r="F1569">
        <v>38223</v>
      </c>
      <c r="G1569">
        <v>40508</v>
      </c>
    </row>
    <row r="1570" spans="1:7" x14ac:dyDescent="0.25">
      <c r="A1570">
        <v>15002</v>
      </c>
      <c r="B1570" t="s">
        <v>397</v>
      </c>
      <c r="C1570" s="1">
        <v>43831</v>
      </c>
      <c r="D1570" s="1">
        <v>44111</v>
      </c>
      <c r="E1570">
        <v>239257</v>
      </c>
    </row>
    <row r="1571" spans="1:7" x14ac:dyDescent="0.25">
      <c r="A1571">
        <v>15002</v>
      </c>
      <c r="B1571" t="s">
        <v>397</v>
      </c>
      <c r="C1571" s="1">
        <v>44112</v>
      </c>
      <c r="D1571" s="1">
        <v>44433</v>
      </c>
      <c r="E1571">
        <v>238762</v>
      </c>
    </row>
    <row r="1572" spans="1:7" x14ac:dyDescent="0.25">
      <c r="A1572">
        <v>15002</v>
      </c>
      <c r="B1572" t="s">
        <v>397</v>
      </c>
      <c r="C1572" s="1">
        <v>44434</v>
      </c>
      <c r="D1572" s="1">
        <v>44826</v>
      </c>
      <c r="E1572">
        <v>237865</v>
      </c>
      <c r="F1572">
        <v>115241</v>
      </c>
      <c r="G1572">
        <v>122624</v>
      </c>
    </row>
    <row r="1573" spans="1:7" x14ac:dyDescent="0.25">
      <c r="A1573">
        <v>15002</v>
      </c>
      <c r="B1573" t="s">
        <v>397</v>
      </c>
      <c r="C1573" s="1">
        <v>44827</v>
      </c>
      <c r="D1573" s="1">
        <v>117974</v>
      </c>
      <c r="E1573">
        <v>238061</v>
      </c>
      <c r="F1573">
        <v>115441</v>
      </c>
      <c r="G1573">
        <v>122620</v>
      </c>
    </row>
    <row r="1574" spans="1:7" x14ac:dyDescent="0.25">
      <c r="A1574">
        <v>15003</v>
      </c>
      <c r="B1574" t="s">
        <v>398</v>
      </c>
      <c r="C1574" s="1">
        <v>43831</v>
      </c>
      <c r="D1574" s="1">
        <v>44111</v>
      </c>
      <c r="E1574">
        <v>238697</v>
      </c>
    </row>
    <row r="1575" spans="1:7" x14ac:dyDescent="0.25">
      <c r="A1575">
        <v>15003</v>
      </c>
      <c r="B1575" t="s">
        <v>398</v>
      </c>
      <c r="C1575" s="1">
        <v>44112</v>
      </c>
      <c r="D1575" s="1">
        <v>44433</v>
      </c>
      <c r="E1575">
        <v>237565</v>
      </c>
    </row>
    <row r="1576" spans="1:7" x14ac:dyDescent="0.25">
      <c r="A1576">
        <v>15003</v>
      </c>
      <c r="B1576" t="s">
        <v>398</v>
      </c>
      <c r="C1576" s="1">
        <v>44434</v>
      </c>
      <c r="D1576" s="1">
        <v>44826</v>
      </c>
      <c r="E1576">
        <v>235775</v>
      </c>
      <c r="F1576">
        <v>116273</v>
      </c>
      <c r="G1576">
        <v>119502</v>
      </c>
    </row>
    <row r="1577" spans="1:7" x14ac:dyDescent="0.25">
      <c r="A1577">
        <v>15003</v>
      </c>
      <c r="B1577" t="s">
        <v>398</v>
      </c>
      <c r="C1577" s="1">
        <v>44827</v>
      </c>
      <c r="D1577" s="1">
        <v>117974</v>
      </c>
      <c r="E1577">
        <v>236188</v>
      </c>
      <c r="F1577">
        <v>116626</v>
      </c>
      <c r="G1577">
        <v>119562</v>
      </c>
    </row>
    <row r="1578" spans="1:7" x14ac:dyDescent="0.25">
      <c r="A1578">
        <v>15081</v>
      </c>
      <c r="B1578" t="s">
        <v>399</v>
      </c>
      <c r="C1578" s="1">
        <v>43831</v>
      </c>
      <c r="D1578" s="1">
        <v>44111</v>
      </c>
      <c r="E1578">
        <v>83765</v>
      </c>
    </row>
    <row r="1579" spans="1:7" x14ac:dyDescent="0.25">
      <c r="A1579">
        <v>15081</v>
      </c>
      <c r="B1579" t="s">
        <v>399</v>
      </c>
      <c r="C1579" s="1">
        <v>44112</v>
      </c>
      <c r="D1579" s="1">
        <v>44433</v>
      </c>
      <c r="E1579">
        <v>83173</v>
      </c>
    </row>
    <row r="1580" spans="1:7" x14ac:dyDescent="0.25">
      <c r="A1580">
        <v>15081</v>
      </c>
      <c r="B1580" t="s">
        <v>399</v>
      </c>
      <c r="C1580" s="1">
        <v>44434</v>
      </c>
      <c r="D1580" s="1">
        <v>44826</v>
      </c>
      <c r="E1580">
        <v>82687</v>
      </c>
      <c r="F1580">
        <v>41220</v>
      </c>
      <c r="G1580">
        <v>41467</v>
      </c>
    </row>
    <row r="1581" spans="1:7" x14ac:dyDescent="0.25">
      <c r="A1581">
        <v>15081</v>
      </c>
      <c r="B1581" t="s">
        <v>399</v>
      </c>
      <c r="C1581" s="1">
        <v>44827</v>
      </c>
      <c r="D1581" s="1">
        <v>117974</v>
      </c>
      <c r="E1581">
        <v>81986</v>
      </c>
      <c r="F1581">
        <v>40808</v>
      </c>
      <c r="G1581">
        <v>41178</v>
      </c>
    </row>
    <row r="1582" spans="1:7" x14ac:dyDescent="0.25">
      <c r="A1582">
        <v>15082</v>
      </c>
      <c r="B1582" t="s">
        <v>400</v>
      </c>
      <c r="C1582" s="1">
        <v>43831</v>
      </c>
      <c r="D1582" s="1">
        <v>44111</v>
      </c>
      <c r="E1582">
        <v>159854</v>
      </c>
    </row>
    <row r="1583" spans="1:7" x14ac:dyDescent="0.25">
      <c r="A1583">
        <v>15082</v>
      </c>
      <c r="B1583" t="s">
        <v>400</v>
      </c>
      <c r="C1583" s="1">
        <v>44112</v>
      </c>
      <c r="D1583" s="1">
        <v>44433</v>
      </c>
      <c r="E1583">
        <v>158486</v>
      </c>
    </row>
    <row r="1584" spans="1:7" x14ac:dyDescent="0.25">
      <c r="A1584">
        <v>15082</v>
      </c>
      <c r="B1584" t="s">
        <v>400</v>
      </c>
      <c r="C1584" s="1">
        <v>44434</v>
      </c>
      <c r="D1584" s="1">
        <v>44826</v>
      </c>
      <c r="E1584">
        <v>157217</v>
      </c>
      <c r="F1584">
        <v>77058</v>
      </c>
      <c r="G1584">
        <v>80159</v>
      </c>
    </row>
    <row r="1585" spans="1:7" x14ac:dyDescent="0.25">
      <c r="A1585">
        <v>15082</v>
      </c>
      <c r="B1585" t="s">
        <v>400</v>
      </c>
      <c r="C1585" s="1">
        <v>44827</v>
      </c>
      <c r="D1585" s="1">
        <v>117974</v>
      </c>
      <c r="E1585">
        <v>155900</v>
      </c>
      <c r="F1585">
        <v>76440</v>
      </c>
      <c r="G1585">
        <v>79460</v>
      </c>
    </row>
    <row r="1586" spans="1:7" x14ac:dyDescent="0.25">
      <c r="A1586">
        <v>15083</v>
      </c>
      <c r="B1586" t="s">
        <v>401</v>
      </c>
      <c r="C1586" s="1">
        <v>43831</v>
      </c>
      <c r="D1586" s="1">
        <v>44111</v>
      </c>
      <c r="E1586">
        <v>171734</v>
      </c>
    </row>
    <row r="1587" spans="1:7" x14ac:dyDescent="0.25">
      <c r="A1587">
        <v>15083</v>
      </c>
      <c r="B1587" t="s">
        <v>401</v>
      </c>
      <c r="C1587" s="1">
        <v>44112</v>
      </c>
      <c r="D1587" s="1">
        <v>44433</v>
      </c>
      <c r="E1587">
        <v>170923</v>
      </c>
    </row>
    <row r="1588" spans="1:7" x14ac:dyDescent="0.25">
      <c r="A1588">
        <v>15083</v>
      </c>
      <c r="B1588" t="s">
        <v>401</v>
      </c>
      <c r="C1588" s="1">
        <v>44434</v>
      </c>
      <c r="D1588" s="1">
        <v>44826</v>
      </c>
      <c r="E1588">
        <v>170567</v>
      </c>
      <c r="F1588">
        <v>85007</v>
      </c>
      <c r="G1588">
        <v>85560</v>
      </c>
    </row>
    <row r="1589" spans="1:7" x14ac:dyDescent="0.25">
      <c r="A1589">
        <v>15083</v>
      </c>
      <c r="B1589" t="s">
        <v>401</v>
      </c>
      <c r="C1589" s="1">
        <v>44827</v>
      </c>
      <c r="D1589" s="1">
        <v>117974</v>
      </c>
      <c r="E1589">
        <v>170106</v>
      </c>
      <c r="F1589">
        <v>84778</v>
      </c>
      <c r="G1589">
        <v>85328</v>
      </c>
    </row>
    <row r="1590" spans="1:7" x14ac:dyDescent="0.25">
      <c r="A1590">
        <v>15084</v>
      </c>
      <c r="B1590" t="s">
        <v>402</v>
      </c>
      <c r="C1590" s="1">
        <v>43831</v>
      </c>
      <c r="D1590" s="1">
        <v>44111</v>
      </c>
      <c r="E1590">
        <v>180190</v>
      </c>
    </row>
    <row r="1591" spans="1:7" x14ac:dyDescent="0.25">
      <c r="A1591">
        <v>15084</v>
      </c>
      <c r="B1591" t="s">
        <v>402</v>
      </c>
      <c r="C1591" s="1">
        <v>44112</v>
      </c>
      <c r="D1591" s="1">
        <v>44433</v>
      </c>
      <c r="E1591">
        <v>178846</v>
      </c>
    </row>
    <row r="1592" spans="1:7" x14ac:dyDescent="0.25">
      <c r="A1592">
        <v>15084</v>
      </c>
      <c r="B1592" t="s">
        <v>402</v>
      </c>
      <c r="C1592" s="1">
        <v>44434</v>
      </c>
      <c r="D1592" s="1">
        <v>44826</v>
      </c>
      <c r="E1592">
        <v>177590</v>
      </c>
      <c r="F1592">
        <v>87919</v>
      </c>
      <c r="G1592">
        <v>89671</v>
      </c>
    </row>
    <row r="1593" spans="1:7" x14ac:dyDescent="0.25">
      <c r="A1593">
        <v>15084</v>
      </c>
      <c r="B1593" t="s">
        <v>402</v>
      </c>
      <c r="C1593" s="1">
        <v>44827</v>
      </c>
      <c r="D1593" s="1">
        <v>117974</v>
      </c>
      <c r="E1593">
        <v>176333</v>
      </c>
      <c r="F1593">
        <v>87308</v>
      </c>
      <c r="G1593">
        <v>89025</v>
      </c>
    </row>
    <row r="1594" spans="1:7" x14ac:dyDescent="0.25">
      <c r="A1594">
        <v>15085</v>
      </c>
      <c r="B1594" t="s">
        <v>403</v>
      </c>
      <c r="C1594" s="1">
        <v>43831</v>
      </c>
      <c r="D1594" s="1">
        <v>44111</v>
      </c>
      <c r="E1594">
        <v>214446</v>
      </c>
    </row>
    <row r="1595" spans="1:7" x14ac:dyDescent="0.25">
      <c r="A1595">
        <v>15085</v>
      </c>
      <c r="B1595" t="s">
        <v>403</v>
      </c>
      <c r="C1595" s="1">
        <v>44112</v>
      </c>
      <c r="D1595" s="1">
        <v>44433</v>
      </c>
      <c r="E1595">
        <v>213310</v>
      </c>
    </row>
    <row r="1596" spans="1:7" x14ac:dyDescent="0.25">
      <c r="A1596">
        <v>15085</v>
      </c>
      <c r="B1596" t="s">
        <v>403</v>
      </c>
      <c r="C1596" s="1">
        <v>44434</v>
      </c>
      <c r="D1596" s="1">
        <v>44826</v>
      </c>
      <c r="E1596">
        <v>210975</v>
      </c>
      <c r="F1596">
        <v>103480</v>
      </c>
      <c r="G1596">
        <v>107495</v>
      </c>
    </row>
    <row r="1597" spans="1:7" x14ac:dyDescent="0.25">
      <c r="A1597">
        <v>15085</v>
      </c>
      <c r="B1597" t="s">
        <v>403</v>
      </c>
      <c r="C1597" s="1">
        <v>44827</v>
      </c>
      <c r="D1597" s="1">
        <v>117974</v>
      </c>
      <c r="E1597">
        <v>209117</v>
      </c>
      <c r="F1597">
        <v>102527</v>
      </c>
      <c r="G1597">
        <v>106590</v>
      </c>
    </row>
    <row r="1598" spans="1:7" x14ac:dyDescent="0.25">
      <c r="A1598">
        <v>15086</v>
      </c>
      <c r="B1598" t="s">
        <v>404</v>
      </c>
      <c r="C1598" s="1">
        <v>43831</v>
      </c>
      <c r="D1598" s="1">
        <v>44111</v>
      </c>
      <c r="E1598">
        <v>89928</v>
      </c>
    </row>
    <row r="1599" spans="1:7" x14ac:dyDescent="0.25">
      <c r="A1599">
        <v>15086</v>
      </c>
      <c r="B1599" t="s">
        <v>404</v>
      </c>
      <c r="C1599" s="1">
        <v>44112</v>
      </c>
      <c r="D1599" s="1">
        <v>44433</v>
      </c>
      <c r="E1599">
        <v>89589</v>
      </c>
    </row>
    <row r="1600" spans="1:7" x14ac:dyDescent="0.25">
      <c r="A1600">
        <v>15086</v>
      </c>
      <c r="B1600" t="s">
        <v>404</v>
      </c>
      <c r="C1600" s="1">
        <v>44434</v>
      </c>
      <c r="D1600" s="1">
        <v>44826</v>
      </c>
      <c r="E1600">
        <v>89403</v>
      </c>
      <c r="F1600">
        <v>44489</v>
      </c>
      <c r="G1600">
        <v>44914</v>
      </c>
    </row>
    <row r="1601" spans="1:7" x14ac:dyDescent="0.25">
      <c r="A1601">
        <v>15086</v>
      </c>
      <c r="B1601" t="s">
        <v>404</v>
      </c>
      <c r="C1601" s="1">
        <v>44827</v>
      </c>
      <c r="D1601" s="1">
        <v>117974</v>
      </c>
      <c r="E1601">
        <v>89118</v>
      </c>
      <c r="F1601">
        <v>44355</v>
      </c>
      <c r="G1601">
        <v>44763</v>
      </c>
    </row>
    <row r="1602" spans="1:7" x14ac:dyDescent="0.25">
      <c r="A1602">
        <v>15087</v>
      </c>
      <c r="B1602" t="s">
        <v>405</v>
      </c>
      <c r="C1602" s="1">
        <v>43831</v>
      </c>
      <c r="D1602" s="1">
        <v>44111</v>
      </c>
      <c r="E1602">
        <v>136249</v>
      </c>
    </row>
    <row r="1603" spans="1:7" x14ac:dyDescent="0.25">
      <c r="A1603">
        <v>15087</v>
      </c>
      <c r="B1603" t="s">
        <v>405</v>
      </c>
      <c r="C1603" s="1">
        <v>44112</v>
      </c>
      <c r="D1603" s="1">
        <v>44433</v>
      </c>
      <c r="E1603">
        <v>134942</v>
      </c>
    </row>
    <row r="1604" spans="1:7" x14ac:dyDescent="0.25">
      <c r="A1604">
        <v>15087</v>
      </c>
      <c r="B1604" t="s">
        <v>405</v>
      </c>
      <c r="C1604" s="1">
        <v>44434</v>
      </c>
      <c r="D1604" s="1">
        <v>44826</v>
      </c>
      <c r="E1604">
        <v>133690</v>
      </c>
      <c r="F1604">
        <v>65650</v>
      </c>
      <c r="G1604">
        <v>68040</v>
      </c>
    </row>
    <row r="1605" spans="1:7" x14ac:dyDescent="0.25">
      <c r="A1605">
        <v>15087</v>
      </c>
      <c r="B1605" t="s">
        <v>405</v>
      </c>
      <c r="C1605" s="1">
        <v>44827</v>
      </c>
      <c r="D1605" s="1">
        <v>117974</v>
      </c>
      <c r="E1605">
        <v>132317</v>
      </c>
      <c r="F1605">
        <v>64971</v>
      </c>
      <c r="G1605">
        <v>67346</v>
      </c>
    </row>
    <row r="1606" spans="1:7" x14ac:dyDescent="0.25">
      <c r="A1606">
        <v>15088</v>
      </c>
      <c r="B1606" t="s">
        <v>406</v>
      </c>
      <c r="C1606" s="1">
        <v>43831</v>
      </c>
      <c r="D1606" s="1">
        <v>44111</v>
      </c>
      <c r="E1606">
        <v>184582</v>
      </c>
    </row>
    <row r="1607" spans="1:7" x14ac:dyDescent="0.25">
      <c r="A1607">
        <v>15088</v>
      </c>
      <c r="B1607" t="s">
        <v>406</v>
      </c>
      <c r="C1607" s="1">
        <v>44112</v>
      </c>
      <c r="D1607" s="1">
        <v>44433</v>
      </c>
      <c r="E1607">
        <v>183815</v>
      </c>
    </row>
    <row r="1608" spans="1:7" x14ac:dyDescent="0.25">
      <c r="A1608">
        <v>15088</v>
      </c>
      <c r="B1608" t="s">
        <v>406</v>
      </c>
      <c r="C1608" s="1">
        <v>44434</v>
      </c>
      <c r="D1608" s="1">
        <v>44826</v>
      </c>
      <c r="E1608">
        <v>183434</v>
      </c>
      <c r="F1608">
        <v>90697</v>
      </c>
      <c r="G1608">
        <v>92737</v>
      </c>
    </row>
    <row r="1609" spans="1:7" x14ac:dyDescent="0.25">
      <c r="A1609">
        <v>15088</v>
      </c>
      <c r="B1609" t="s">
        <v>406</v>
      </c>
      <c r="C1609" s="1">
        <v>44827</v>
      </c>
      <c r="D1609" s="1">
        <v>117974</v>
      </c>
      <c r="E1609">
        <v>182814</v>
      </c>
      <c r="F1609">
        <v>90387</v>
      </c>
      <c r="G1609">
        <v>92427</v>
      </c>
    </row>
    <row r="1610" spans="1:7" x14ac:dyDescent="0.25">
      <c r="A1610">
        <v>15089</v>
      </c>
      <c r="B1610" t="s">
        <v>407</v>
      </c>
      <c r="C1610" s="1">
        <v>43831</v>
      </c>
      <c r="D1610" s="1">
        <v>44111</v>
      </c>
      <c r="E1610">
        <v>190560</v>
      </c>
    </row>
    <row r="1611" spans="1:7" x14ac:dyDescent="0.25">
      <c r="A1611">
        <v>15089</v>
      </c>
      <c r="B1611" t="s">
        <v>407</v>
      </c>
      <c r="C1611" s="1">
        <v>44112</v>
      </c>
      <c r="D1611" s="1">
        <v>44433</v>
      </c>
      <c r="E1611">
        <v>189125</v>
      </c>
    </row>
    <row r="1612" spans="1:7" x14ac:dyDescent="0.25">
      <c r="A1612">
        <v>15089</v>
      </c>
      <c r="B1612" t="s">
        <v>407</v>
      </c>
      <c r="C1612" s="1">
        <v>44434</v>
      </c>
      <c r="D1612" s="1">
        <v>44826</v>
      </c>
      <c r="E1612">
        <v>187457</v>
      </c>
      <c r="F1612">
        <v>91513</v>
      </c>
      <c r="G1612">
        <v>95944</v>
      </c>
    </row>
    <row r="1613" spans="1:7" x14ac:dyDescent="0.25">
      <c r="A1613">
        <v>15089</v>
      </c>
      <c r="B1613" t="s">
        <v>407</v>
      </c>
      <c r="C1613" s="1">
        <v>44827</v>
      </c>
      <c r="D1613" s="1">
        <v>117974</v>
      </c>
      <c r="E1613">
        <v>185495</v>
      </c>
      <c r="F1613">
        <v>90596</v>
      </c>
      <c r="G1613">
        <v>94899</v>
      </c>
    </row>
    <row r="1614" spans="1:7" x14ac:dyDescent="0.25">
      <c r="A1614">
        <v>15090</v>
      </c>
      <c r="B1614" t="s">
        <v>408</v>
      </c>
      <c r="C1614" s="1">
        <v>43831</v>
      </c>
      <c r="D1614" s="1">
        <v>44111</v>
      </c>
      <c r="E1614">
        <v>111982</v>
      </c>
    </row>
    <row r="1615" spans="1:7" x14ac:dyDescent="0.25">
      <c r="A1615">
        <v>15090</v>
      </c>
      <c r="B1615" t="s">
        <v>408</v>
      </c>
      <c r="C1615" s="1">
        <v>44112</v>
      </c>
      <c r="D1615" s="1">
        <v>44433</v>
      </c>
      <c r="E1615">
        <v>111190</v>
      </c>
    </row>
    <row r="1616" spans="1:7" x14ac:dyDescent="0.25">
      <c r="A1616">
        <v>15090</v>
      </c>
      <c r="B1616" t="s">
        <v>408</v>
      </c>
      <c r="C1616" s="1">
        <v>44434</v>
      </c>
      <c r="D1616" s="1">
        <v>44826</v>
      </c>
      <c r="E1616">
        <v>110485</v>
      </c>
      <c r="F1616">
        <v>54415</v>
      </c>
      <c r="G1616">
        <v>56070</v>
      </c>
    </row>
    <row r="1617" spans="1:7" x14ac:dyDescent="0.25">
      <c r="A1617">
        <v>15090</v>
      </c>
      <c r="B1617" t="s">
        <v>408</v>
      </c>
      <c r="C1617" s="1">
        <v>44827</v>
      </c>
      <c r="D1617" s="1">
        <v>117974</v>
      </c>
      <c r="E1617">
        <v>109746</v>
      </c>
      <c r="F1617">
        <v>54029</v>
      </c>
      <c r="G1617">
        <v>55717</v>
      </c>
    </row>
    <row r="1618" spans="1:7" x14ac:dyDescent="0.25">
      <c r="A1618">
        <v>15091</v>
      </c>
      <c r="B1618" t="s">
        <v>409</v>
      </c>
      <c r="C1618" s="1">
        <v>43831</v>
      </c>
      <c r="D1618" s="1">
        <v>44111</v>
      </c>
      <c r="E1618">
        <v>125840</v>
      </c>
    </row>
    <row r="1619" spans="1:7" x14ac:dyDescent="0.25">
      <c r="A1619">
        <v>15091</v>
      </c>
      <c r="B1619" t="s">
        <v>409</v>
      </c>
      <c r="C1619" s="1">
        <v>44112</v>
      </c>
      <c r="D1619" s="1">
        <v>44433</v>
      </c>
      <c r="E1619">
        <v>124953</v>
      </c>
    </row>
    <row r="1620" spans="1:7" x14ac:dyDescent="0.25">
      <c r="A1620">
        <v>15091</v>
      </c>
      <c r="B1620" t="s">
        <v>409</v>
      </c>
      <c r="C1620" s="1">
        <v>44434</v>
      </c>
      <c r="D1620" s="1">
        <v>44826</v>
      </c>
      <c r="E1620">
        <v>124185</v>
      </c>
      <c r="F1620">
        <v>61111</v>
      </c>
      <c r="G1620">
        <v>63074</v>
      </c>
    </row>
    <row r="1621" spans="1:7" x14ac:dyDescent="0.25">
      <c r="A1621">
        <v>15091</v>
      </c>
      <c r="B1621" t="s">
        <v>409</v>
      </c>
      <c r="C1621" s="1">
        <v>44827</v>
      </c>
      <c r="D1621" s="1">
        <v>117974</v>
      </c>
      <c r="E1621">
        <v>123341</v>
      </c>
      <c r="F1621">
        <v>60654</v>
      </c>
      <c r="G1621">
        <v>62687</v>
      </c>
    </row>
    <row r="1622" spans="1:7" x14ac:dyDescent="0.25">
      <c r="A1622">
        <v>16</v>
      </c>
      <c r="B1622" t="s">
        <v>410</v>
      </c>
      <c r="C1622" s="1">
        <v>43831</v>
      </c>
      <c r="D1622" s="1">
        <v>44111</v>
      </c>
      <c r="E1622">
        <v>2143145</v>
      </c>
    </row>
    <row r="1623" spans="1:7" x14ac:dyDescent="0.25">
      <c r="A1623">
        <v>16</v>
      </c>
      <c r="B1623" t="s">
        <v>410</v>
      </c>
      <c r="C1623" s="1">
        <v>44112</v>
      </c>
      <c r="D1623" s="1">
        <v>44433</v>
      </c>
      <c r="E1623">
        <v>2133378</v>
      </c>
    </row>
    <row r="1624" spans="1:7" x14ac:dyDescent="0.25">
      <c r="A1624">
        <v>16</v>
      </c>
      <c r="B1624" t="s">
        <v>410</v>
      </c>
      <c r="C1624" s="1">
        <v>44434</v>
      </c>
      <c r="D1624" s="1">
        <v>44826</v>
      </c>
      <c r="E1624">
        <v>2120237</v>
      </c>
      <c r="F1624">
        <v>1049210</v>
      </c>
      <c r="G1624">
        <v>1071026</v>
      </c>
    </row>
    <row r="1625" spans="1:7" x14ac:dyDescent="0.25">
      <c r="A1625">
        <v>16</v>
      </c>
      <c r="B1625" t="s">
        <v>410</v>
      </c>
      <c r="C1625" s="1">
        <v>44827</v>
      </c>
      <c r="D1625" s="1">
        <v>117974</v>
      </c>
      <c r="E1625">
        <v>2108863</v>
      </c>
      <c r="F1625">
        <v>1043936</v>
      </c>
      <c r="G1625">
        <v>1064927</v>
      </c>
    </row>
    <row r="1626" spans="1:7" x14ac:dyDescent="0.25">
      <c r="A1626">
        <v>16051</v>
      </c>
      <c r="B1626" t="s">
        <v>411</v>
      </c>
      <c r="C1626" s="1">
        <v>43831</v>
      </c>
      <c r="D1626" s="1">
        <v>44111</v>
      </c>
      <c r="E1626">
        <v>213699</v>
      </c>
    </row>
    <row r="1627" spans="1:7" x14ac:dyDescent="0.25">
      <c r="A1627">
        <v>16051</v>
      </c>
      <c r="B1627" t="s">
        <v>411</v>
      </c>
      <c r="C1627" s="1">
        <v>44112</v>
      </c>
      <c r="D1627" s="1">
        <v>44433</v>
      </c>
      <c r="E1627">
        <v>213981</v>
      </c>
    </row>
    <row r="1628" spans="1:7" x14ac:dyDescent="0.25">
      <c r="A1628">
        <v>16051</v>
      </c>
      <c r="B1628" t="s">
        <v>411</v>
      </c>
      <c r="C1628" s="1">
        <v>44434</v>
      </c>
      <c r="D1628" s="1">
        <v>44826</v>
      </c>
      <c r="E1628">
        <v>213692</v>
      </c>
      <c r="F1628">
        <v>103940</v>
      </c>
      <c r="G1628">
        <v>109752</v>
      </c>
    </row>
    <row r="1629" spans="1:7" x14ac:dyDescent="0.25">
      <c r="A1629">
        <v>16051</v>
      </c>
      <c r="B1629" t="s">
        <v>411</v>
      </c>
      <c r="C1629" s="1">
        <v>44827</v>
      </c>
      <c r="D1629" s="1">
        <v>117974</v>
      </c>
      <c r="E1629">
        <v>213227</v>
      </c>
      <c r="F1629">
        <v>103638</v>
      </c>
      <c r="G1629">
        <v>109589</v>
      </c>
    </row>
    <row r="1630" spans="1:7" x14ac:dyDescent="0.25">
      <c r="A1630">
        <v>16052</v>
      </c>
      <c r="B1630" t="s">
        <v>412</v>
      </c>
      <c r="C1630" s="1">
        <v>43831</v>
      </c>
      <c r="D1630" s="1">
        <v>44111</v>
      </c>
      <c r="E1630">
        <v>94152</v>
      </c>
    </row>
    <row r="1631" spans="1:7" x14ac:dyDescent="0.25">
      <c r="A1631">
        <v>16052</v>
      </c>
      <c r="B1631" t="s">
        <v>412</v>
      </c>
      <c r="C1631" s="1">
        <v>44112</v>
      </c>
      <c r="D1631" s="1">
        <v>44433</v>
      </c>
      <c r="E1631">
        <v>93125</v>
      </c>
    </row>
    <row r="1632" spans="1:7" x14ac:dyDescent="0.25">
      <c r="A1632">
        <v>16052</v>
      </c>
      <c r="B1632" t="s">
        <v>412</v>
      </c>
      <c r="C1632" s="1">
        <v>44434</v>
      </c>
      <c r="D1632" s="1">
        <v>44826</v>
      </c>
      <c r="E1632">
        <v>92126</v>
      </c>
      <c r="F1632">
        <v>44474</v>
      </c>
      <c r="G1632">
        <v>47652</v>
      </c>
    </row>
    <row r="1633" spans="1:7" x14ac:dyDescent="0.25">
      <c r="A1633">
        <v>16052</v>
      </c>
      <c r="B1633" t="s">
        <v>412</v>
      </c>
      <c r="C1633" s="1">
        <v>44827</v>
      </c>
      <c r="D1633" s="1">
        <v>117974</v>
      </c>
      <c r="E1633">
        <v>91368</v>
      </c>
      <c r="F1633">
        <v>44203</v>
      </c>
      <c r="G1633">
        <v>47165</v>
      </c>
    </row>
    <row r="1634" spans="1:7" x14ac:dyDescent="0.25">
      <c r="A1634">
        <v>16053</v>
      </c>
      <c r="B1634" t="s">
        <v>413</v>
      </c>
      <c r="C1634" s="1">
        <v>43831</v>
      </c>
      <c r="D1634" s="1">
        <v>44111</v>
      </c>
      <c r="E1634">
        <v>111407</v>
      </c>
    </row>
    <row r="1635" spans="1:7" x14ac:dyDescent="0.25">
      <c r="A1635">
        <v>16053</v>
      </c>
      <c r="B1635" t="s">
        <v>413</v>
      </c>
      <c r="C1635" s="1">
        <v>44112</v>
      </c>
      <c r="D1635" s="1">
        <v>44433</v>
      </c>
      <c r="E1635">
        <v>111343</v>
      </c>
    </row>
    <row r="1636" spans="1:7" x14ac:dyDescent="0.25">
      <c r="A1636">
        <v>16053</v>
      </c>
      <c r="B1636" t="s">
        <v>413</v>
      </c>
      <c r="C1636" s="1">
        <v>44434</v>
      </c>
      <c r="D1636" s="1">
        <v>44826</v>
      </c>
      <c r="E1636">
        <v>110731</v>
      </c>
      <c r="F1636">
        <v>55374</v>
      </c>
      <c r="G1636">
        <v>55357</v>
      </c>
    </row>
    <row r="1637" spans="1:7" x14ac:dyDescent="0.25">
      <c r="A1637">
        <v>16053</v>
      </c>
      <c r="B1637" t="s">
        <v>413</v>
      </c>
      <c r="C1637" s="1">
        <v>44827</v>
      </c>
      <c r="D1637" s="1">
        <v>117974</v>
      </c>
      <c r="E1637">
        <v>110502</v>
      </c>
      <c r="F1637">
        <v>55097</v>
      </c>
      <c r="G1637">
        <v>55405</v>
      </c>
    </row>
    <row r="1638" spans="1:7" x14ac:dyDescent="0.25">
      <c r="A1638">
        <v>16054</v>
      </c>
      <c r="B1638" t="s">
        <v>414</v>
      </c>
      <c r="C1638" s="1">
        <v>43831</v>
      </c>
      <c r="D1638" s="1">
        <v>44111</v>
      </c>
      <c r="E1638">
        <v>34835</v>
      </c>
    </row>
    <row r="1639" spans="1:7" x14ac:dyDescent="0.25">
      <c r="A1639">
        <v>16054</v>
      </c>
      <c r="B1639" t="s">
        <v>414</v>
      </c>
      <c r="C1639" s="1">
        <v>44112</v>
      </c>
      <c r="D1639" s="1">
        <v>44433</v>
      </c>
      <c r="E1639">
        <v>36789</v>
      </c>
    </row>
    <row r="1640" spans="1:7" x14ac:dyDescent="0.25">
      <c r="A1640">
        <v>16054</v>
      </c>
      <c r="B1640" t="s">
        <v>414</v>
      </c>
      <c r="C1640" s="1">
        <v>44434</v>
      </c>
      <c r="D1640" s="1">
        <v>44826</v>
      </c>
      <c r="E1640">
        <v>36395</v>
      </c>
      <c r="F1640">
        <v>17887</v>
      </c>
      <c r="G1640">
        <v>18508</v>
      </c>
    </row>
    <row r="1641" spans="1:7" x14ac:dyDescent="0.25">
      <c r="A1641">
        <v>16054</v>
      </c>
      <c r="B1641" t="s">
        <v>414</v>
      </c>
      <c r="C1641" s="1">
        <v>44827</v>
      </c>
      <c r="D1641" s="1">
        <v>117974</v>
      </c>
      <c r="E1641">
        <v>36054</v>
      </c>
      <c r="F1641">
        <v>17718</v>
      </c>
      <c r="G1641">
        <v>18336</v>
      </c>
    </row>
    <row r="1642" spans="1:7" x14ac:dyDescent="0.25">
      <c r="A1642">
        <v>16055</v>
      </c>
      <c r="B1642" t="s">
        <v>415</v>
      </c>
      <c r="C1642" s="1">
        <v>43831</v>
      </c>
      <c r="D1642" s="1">
        <v>44111</v>
      </c>
      <c r="E1642">
        <v>65090</v>
      </c>
    </row>
    <row r="1643" spans="1:7" x14ac:dyDescent="0.25">
      <c r="A1643">
        <v>16055</v>
      </c>
      <c r="B1643" t="s">
        <v>415</v>
      </c>
      <c r="C1643" s="1">
        <v>44112</v>
      </c>
      <c r="D1643" s="1">
        <v>44433</v>
      </c>
      <c r="E1643">
        <v>65228</v>
      </c>
    </row>
    <row r="1644" spans="1:7" x14ac:dyDescent="0.25">
      <c r="A1644">
        <v>16055</v>
      </c>
      <c r="B1644" t="s">
        <v>415</v>
      </c>
      <c r="C1644" s="1">
        <v>44434</v>
      </c>
      <c r="D1644" s="1">
        <v>44826</v>
      </c>
      <c r="E1644">
        <v>65098</v>
      </c>
      <c r="F1644">
        <v>31439</v>
      </c>
      <c r="G1644">
        <v>33659</v>
      </c>
    </row>
    <row r="1645" spans="1:7" x14ac:dyDescent="0.25">
      <c r="A1645">
        <v>16055</v>
      </c>
      <c r="B1645" t="s">
        <v>415</v>
      </c>
      <c r="C1645" s="1">
        <v>44827</v>
      </c>
      <c r="D1645" s="1">
        <v>117974</v>
      </c>
      <c r="E1645">
        <v>65138</v>
      </c>
      <c r="F1645">
        <v>31456</v>
      </c>
      <c r="G1645">
        <v>33682</v>
      </c>
    </row>
    <row r="1646" spans="1:7" x14ac:dyDescent="0.25">
      <c r="A1646">
        <v>16056</v>
      </c>
      <c r="B1646" t="s">
        <v>420</v>
      </c>
      <c r="C1646" s="1">
        <v>43831</v>
      </c>
      <c r="D1646" s="1">
        <v>44111</v>
      </c>
      <c r="E1646">
        <v>42370</v>
      </c>
    </row>
    <row r="1647" spans="1:7" x14ac:dyDescent="0.25">
      <c r="A1647">
        <v>16056</v>
      </c>
      <c r="B1647" t="s">
        <v>420</v>
      </c>
      <c r="C1647" s="1">
        <v>44112</v>
      </c>
      <c r="D1647" s="1">
        <v>44390</v>
      </c>
      <c r="E1647">
        <v>42250</v>
      </c>
    </row>
    <row r="1648" spans="1:7" x14ac:dyDescent="0.25">
      <c r="A1648">
        <v>16061</v>
      </c>
      <c r="B1648" t="s">
        <v>421</v>
      </c>
      <c r="C1648" s="1">
        <v>43831</v>
      </c>
      <c r="D1648" s="1">
        <v>44111</v>
      </c>
      <c r="E1648">
        <v>100380</v>
      </c>
    </row>
    <row r="1649" spans="1:7" x14ac:dyDescent="0.25">
      <c r="A1649">
        <v>16061</v>
      </c>
      <c r="B1649" t="s">
        <v>421</v>
      </c>
      <c r="C1649" s="1">
        <v>44112</v>
      </c>
      <c r="D1649" s="1">
        <v>44433</v>
      </c>
      <c r="E1649">
        <v>100006</v>
      </c>
    </row>
    <row r="1650" spans="1:7" x14ac:dyDescent="0.25">
      <c r="A1650">
        <v>16061</v>
      </c>
      <c r="B1650" t="s">
        <v>421</v>
      </c>
      <c r="C1650" s="1">
        <v>44434</v>
      </c>
      <c r="D1650" s="1">
        <v>44826</v>
      </c>
      <c r="E1650">
        <v>99463</v>
      </c>
      <c r="F1650">
        <v>49830</v>
      </c>
      <c r="G1650">
        <v>49633</v>
      </c>
    </row>
    <row r="1651" spans="1:7" x14ac:dyDescent="0.25">
      <c r="A1651">
        <v>16061</v>
      </c>
      <c r="B1651" t="s">
        <v>421</v>
      </c>
      <c r="C1651" s="1">
        <v>44827</v>
      </c>
      <c r="D1651" s="1">
        <v>117974</v>
      </c>
      <c r="E1651">
        <v>99324</v>
      </c>
      <c r="F1651">
        <v>49800</v>
      </c>
      <c r="G1651">
        <v>49524</v>
      </c>
    </row>
    <row r="1652" spans="1:7" x14ac:dyDescent="0.25">
      <c r="A1652">
        <v>16062</v>
      </c>
      <c r="B1652" t="s">
        <v>422</v>
      </c>
      <c r="C1652" s="1">
        <v>43831</v>
      </c>
      <c r="D1652" s="1">
        <v>44111</v>
      </c>
      <c r="E1652">
        <v>83822</v>
      </c>
    </row>
    <row r="1653" spans="1:7" x14ac:dyDescent="0.25">
      <c r="A1653">
        <v>16062</v>
      </c>
      <c r="B1653" t="s">
        <v>422</v>
      </c>
      <c r="C1653" s="1">
        <v>44112</v>
      </c>
      <c r="D1653" s="1">
        <v>44433</v>
      </c>
      <c r="E1653">
        <v>83416</v>
      </c>
    </row>
    <row r="1654" spans="1:7" x14ac:dyDescent="0.25">
      <c r="A1654">
        <v>16062</v>
      </c>
      <c r="B1654" t="s">
        <v>422</v>
      </c>
      <c r="C1654" s="1">
        <v>44434</v>
      </c>
      <c r="D1654" s="1">
        <v>44826</v>
      </c>
      <c r="E1654">
        <v>82456</v>
      </c>
      <c r="F1654">
        <v>40960</v>
      </c>
      <c r="G1654">
        <v>41496</v>
      </c>
    </row>
    <row r="1655" spans="1:7" x14ac:dyDescent="0.25">
      <c r="A1655">
        <v>16062</v>
      </c>
      <c r="B1655" t="s">
        <v>422</v>
      </c>
      <c r="C1655" s="1">
        <v>44827</v>
      </c>
      <c r="D1655" s="1">
        <v>117974</v>
      </c>
      <c r="E1655">
        <v>81687</v>
      </c>
      <c r="F1655">
        <v>40557</v>
      </c>
      <c r="G1655">
        <v>41130</v>
      </c>
    </row>
    <row r="1656" spans="1:7" x14ac:dyDescent="0.25">
      <c r="A1656">
        <v>16063</v>
      </c>
      <c r="B1656" t="s">
        <v>423</v>
      </c>
      <c r="C1656" s="1">
        <v>43831</v>
      </c>
      <c r="D1656" s="1">
        <v>44111</v>
      </c>
      <c r="E1656">
        <v>123025</v>
      </c>
    </row>
    <row r="1657" spans="1:7" x14ac:dyDescent="0.25">
      <c r="A1657">
        <v>16063</v>
      </c>
      <c r="B1657" t="s">
        <v>423</v>
      </c>
      <c r="C1657" s="1">
        <v>44112</v>
      </c>
      <c r="D1657" s="1">
        <v>44390</v>
      </c>
      <c r="E1657">
        <v>118974</v>
      </c>
    </row>
    <row r="1658" spans="1:7" x14ac:dyDescent="0.25">
      <c r="A1658">
        <v>16063</v>
      </c>
      <c r="B1658" t="s">
        <v>423</v>
      </c>
      <c r="C1658" s="1">
        <v>44391</v>
      </c>
      <c r="D1658" s="1">
        <v>44433</v>
      </c>
      <c r="E1658">
        <v>161224</v>
      </c>
    </row>
    <row r="1659" spans="1:7" x14ac:dyDescent="0.25">
      <c r="A1659">
        <v>16063</v>
      </c>
      <c r="B1659" t="s">
        <v>423</v>
      </c>
      <c r="C1659" s="1">
        <v>44434</v>
      </c>
      <c r="D1659" s="1">
        <v>44826</v>
      </c>
      <c r="E1659">
        <v>159937</v>
      </c>
      <c r="F1659">
        <v>79760</v>
      </c>
      <c r="G1659">
        <v>80177</v>
      </c>
    </row>
    <row r="1660" spans="1:7" x14ac:dyDescent="0.25">
      <c r="A1660">
        <v>16063</v>
      </c>
      <c r="B1660" t="s">
        <v>423</v>
      </c>
      <c r="C1660" s="1">
        <v>44827</v>
      </c>
      <c r="D1660" s="1">
        <v>117974</v>
      </c>
      <c r="E1660">
        <v>158900</v>
      </c>
      <c r="F1660">
        <v>79235</v>
      </c>
      <c r="G1660">
        <v>79665</v>
      </c>
    </row>
    <row r="1661" spans="1:7" x14ac:dyDescent="0.25">
      <c r="A1661">
        <v>16064</v>
      </c>
      <c r="B1661" t="s">
        <v>424</v>
      </c>
      <c r="C1661" s="1">
        <v>43831</v>
      </c>
      <c r="D1661" s="1">
        <v>44111</v>
      </c>
      <c r="E1661">
        <v>102912</v>
      </c>
    </row>
    <row r="1662" spans="1:7" x14ac:dyDescent="0.25">
      <c r="A1662">
        <v>16064</v>
      </c>
      <c r="B1662" t="s">
        <v>424</v>
      </c>
      <c r="C1662" s="1">
        <v>44112</v>
      </c>
      <c r="D1662" s="1">
        <v>44433</v>
      </c>
      <c r="E1662">
        <v>102232</v>
      </c>
    </row>
    <row r="1663" spans="1:7" x14ac:dyDescent="0.25">
      <c r="A1663">
        <v>16064</v>
      </c>
      <c r="B1663" t="s">
        <v>424</v>
      </c>
      <c r="C1663" s="1">
        <v>44434</v>
      </c>
      <c r="D1663" s="1">
        <v>44826</v>
      </c>
      <c r="E1663">
        <v>101698</v>
      </c>
      <c r="F1663">
        <v>50427</v>
      </c>
      <c r="G1663">
        <v>51271</v>
      </c>
    </row>
    <row r="1664" spans="1:7" x14ac:dyDescent="0.25">
      <c r="A1664">
        <v>16064</v>
      </c>
      <c r="B1664" t="s">
        <v>424</v>
      </c>
      <c r="C1664" s="1">
        <v>44827</v>
      </c>
      <c r="D1664" s="1">
        <v>117974</v>
      </c>
      <c r="E1664">
        <v>101269</v>
      </c>
      <c r="F1664">
        <v>50147</v>
      </c>
      <c r="G1664">
        <v>51122</v>
      </c>
    </row>
    <row r="1665" spans="1:7" x14ac:dyDescent="0.25">
      <c r="A1665">
        <v>16065</v>
      </c>
      <c r="B1665" t="s">
        <v>425</v>
      </c>
      <c r="C1665" s="1">
        <v>43831</v>
      </c>
      <c r="D1665" s="1">
        <v>44111</v>
      </c>
      <c r="E1665">
        <v>75009</v>
      </c>
    </row>
    <row r="1666" spans="1:7" x14ac:dyDescent="0.25">
      <c r="A1666">
        <v>16065</v>
      </c>
      <c r="B1666" t="s">
        <v>425</v>
      </c>
      <c r="C1666" s="1">
        <v>44112</v>
      </c>
      <c r="D1666" s="1">
        <v>44433</v>
      </c>
      <c r="E1666">
        <v>74212</v>
      </c>
    </row>
    <row r="1667" spans="1:7" x14ac:dyDescent="0.25">
      <c r="A1667">
        <v>16065</v>
      </c>
      <c r="B1667" t="s">
        <v>425</v>
      </c>
      <c r="C1667" s="1">
        <v>44434</v>
      </c>
      <c r="D1667" s="1">
        <v>44826</v>
      </c>
      <c r="E1667">
        <v>73522</v>
      </c>
      <c r="F1667">
        <v>36493</v>
      </c>
      <c r="G1667">
        <v>37029</v>
      </c>
    </row>
    <row r="1668" spans="1:7" x14ac:dyDescent="0.25">
      <c r="A1668">
        <v>16065</v>
      </c>
      <c r="B1668" t="s">
        <v>425</v>
      </c>
      <c r="C1668" s="1">
        <v>44827</v>
      </c>
      <c r="D1668" s="1">
        <v>117974</v>
      </c>
      <c r="E1668">
        <v>72964</v>
      </c>
      <c r="F1668">
        <v>36276</v>
      </c>
      <c r="G1668">
        <v>36688</v>
      </c>
    </row>
    <row r="1669" spans="1:7" x14ac:dyDescent="0.25">
      <c r="A1669">
        <v>16066</v>
      </c>
      <c r="B1669" t="s">
        <v>426</v>
      </c>
      <c r="C1669" s="1">
        <v>43831</v>
      </c>
      <c r="D1669" s="1">
        <v>44111</v>
      </c>
      <c r="E1669">
        <v>122347</v>
      </c>
    </row>
    <row r="1670" spans="1:7" x14ac:dyDescent="0.25">
      <c r="A1670">
        <v>16066</v>
      </c>
      <c r="B1670" t="s">
        <v>426</v>
      </c>
      <c r="C1670" s="1">
        <v>44112</v>
      </c>
      <c r="D1670" s="1">
        <v>44433</v>
      </c>
      <c r="E1670">
        <v>124916</v>
      </c>
    </row>
    <row r="1671" spans="1:7" x14ac:dyDescent="0.25">
      <c r="A1671">
        <v>16066</v>
      </c>
      <c r="B1671" t="s">
        <v>426</v>
      </c>
      <c r="C1671" s="1">
        <v>44434</v>
      </c>
      <c r="D1671" s="1">
        <v>44826</v>
      </c>
      <c r="E1671">
        <v>124241</v>
      </c>
      <c r="F1671">
        <v>62110</v>
      </c>
      <c r="G1671">
        <v>62131</v>
      </c>
    </row>
    <row r="1672" spans="1:7" x14ac:dyDescent="0.25">
      <c r="A1672">
        <v>16066</v>
      </c>
      <c r="B1672" t="s">
        <v>426</v>
      </c>
      <c r="C1672" s="1">
        <v>44827</v>
      </c>
      <c r="D1672" s="1">
        <v>117974</v>
      </c>
      <c r="E1672">
        <v>123404</v>
      </c>
      <c r="F1672">
        <v>61702</v>
      </c>
      <c r="G1672">
        <v>61702</v>
      </c>
    </row>
    <row r="1673" spans="1:7" x14ac:dyDescent="0.25">
      <c r="A1673">
        <v>16067</v>
      </c>
      <c r="B1673" t="s">
        <v>427</v>
      </c>
      <c r="C1673" s="1">
        <v>43831</v>
      </c>
      <c r="D1673" s="1">
        <v>44111</v>
      </c>
      <c r="E1673">
        <v>135452</v>
      </c>
    </row>
    <row r="1674" spans="1:7" x14ac:dyDescent="0.25">
      <c r="A1674">
        <v>16067</v>
      </c>
      <c r="B1674" t="s">
        <v>427</v>
      </c>
      <c r="C1674" s="1">
        <v>44112</v>
      </c>
      <c r="D1674" s="1">
        <v>44433</v>
      </c>
      <c r="E1674">
        <v>134908</v>
      </c>
    </row>
    <row r="1675" spans="1:7" x14ac:dyDescent="0.25">
      <c r="A1675">
        <v>16067</v>
      </c>
      <c r="B1675" t="s">
        <v>427</v>
      </c>
      <c r="C1675" s="1">
        <v>44434</v>
      </c>
      <c r="D1675" s="1">
        <v>44826</v>
      </c>
      <c r="E1675">
        <v>134563</v>
      </c>
      <c r="F1675">
        <v>66977</v>
      </c>
      <c r="G1675">
        <v>67586</v>
      </c>
    </row>
    <row r="1676" spans="1:7" x14ac:dyDescent="0.25">
      <c r="A1676">
        <v>16067</v>
      </c>
      <c r="B1676" t="s">
        <v>427</v>
      </c>
      <c r="C1676" s="1">
        <v>44827</v>
      </c>
      <c r="D1676" s="1">
        <v>117974</v>
      </c>
      <c r="E1676">
        <v>133825</v>
      </c>
      <c r="F1676">
        <v>66616</v>
      </c>
      <c r="G1676">
        <v>67209</v>
      </c>
    </row>
    <row r="1677" spans="1:7" x14ac:dyDescent="0.25">
      <c r="A1677">
        <v>16068</v>
      </c>
      <c r="B1677" t="s">
        <v>428</v>
      </c>
      <c r="C1677" s="1">
        <v>43831</v>
      </c>
      <c r="D1677" s="1">
        <v>44111</v>
      </c>
      <c r="E1677">
        <v>69655</v>
      </c>
    </row>
    <row r="1678" spans="1:7" x14ac:dyDescent="0.25">
      <c r="A1678">
        <v>16068</v>
      </c>
      <c r="B1678" t="s">
        <v>428</v>
      </c>
      <c r="C1678" s="1">
        <v>44112</v>
      </c>
      <c r="D1678" s="1">
        <v>44433</v>
      </c>
      <c r="E1678">
        <v>69427</v>
      </c>
    </row>
    <row r="1679" spans="1:7" x14ac:dyDescent="0.25">
      <c r="A1679">
        <v>16068</v>
      </c>
      <c r="B1679" t="s">
        <v>428</v>
      </c>
      <c r="C1679" s="1">
        <v>44434</v>
      </c>
      <c r="D1679" s="1">
        <v>44826</v>
      </c>
      <c r="E1679">
        <v>69107</v>
      </c>
      <c r="F1679">
        <v>34504</v>
      </c>
      <c r="G1679">
        <v>34603</v>
      </c>
    </row>
    <row r="1680" spans="1:7" x14ac:dyDescent="0.25">
      <c r="A1680">
        <v>16068</v>
      </c>
      <c r="B1680" t="s">
        <v>428</v>
      </c>
      <c r="C1680" s="1">
        <v>44827</v>
      </c>
      <c r="D1680" s="1">
        <v>117974</v>
      </c>
      <c r="E1680">
        <v>68717</v>
      </c>
      <c r="F1680">
        <v>34399</v>
      </c>
      <c r="G1680">
        <v>34318</v>
      </c>
    </row>
    <row r="1681" spans="1:7" x14ac:dyDescent="0.25">
      <c r="A1681">
        <v>16069</v>
      </c>
      <c r="B1681" t="s">
        <v>429</v>
      </c>
      <c r="C1681" s="1">
        <v>43831</v>
      </c>
      <c r="D1681" s="1">
        <v>44111</v>
      </c>
      <c r="E1681">
        <v>63553</v>
      </c>
    </row>
    <row r="1682" spans="1:7" x14ac:dyDescent="0.25">
      <c r="A1682">
        <v>16069</v>
      </c>
      <c r="B1682" t="s">
        <v>429</v>
      </c>
      <c r="C1682" s="1">
        <v>44112</v>
      </c>
      <c r="D1682" s="1">
        <v>44433</v>
      </c>
      <c r="E1682">
        <v>63197</v>
      </c>
    </row>
    <row r="1683" spans="1:7" x14ac:dyDescent="0.25">
      <c r="A1683">
        <v>16069</v>
      </c>
      <c r="B1683" t="s">
        <v>429</v>
      </c>
      <c r="C1683" s="1">
        <v>44434</v>
      </c>
      <c r="D1683" s="1">
        <v>44826</v>
      </c>
      <c r="E1683">
        <v>62656</v>
      </c>
      <c r="F1683">
        <v>31343</v>
      </c>
      <c r="G1683">
        <v>31313</v>
      </c>
    </row>
    <row r="1684" spans="1:7" x14ac:dyDescent="0.25">
      <c r="A1684">
        <v>16069</v>
      </c>
      <c r="B1684" t="s">
        <v>429</v>
      </c>
      <c r="C1684" s="1">
        <v>44827</v>
      </c>
      <c r="D1684" s="1">
        <v>117974</v>
      </c>
      <c r="E1684">
        <v>62089</v>
      </c>
      <c r="F1684">
        <v>31089</v>
      </c>
      <c r="G1684">
        <v>31000</v>
      </c>
    </row>
    <row r="1685" spans="1:7" x14ac:dyDescent="0.25">
      <c r="A1685">
        <v>16070</v>
      </c>
      <c r="B1685" t="s">
        <v>430</v>
      </c>
      <c r="C1685" s="1">
        <v>43831</v>
      </c>
      <c r="D1685" s="1">
        <v>44111</v>
      </c>
      <c r="E1685">
        <v>108742</v>
      </c>
    </row>
    <row r="1686" spans="1:7" x14ac:dyDescent="0.25">
      <c r="A1686">
        <v>16070</v>
      </c>
      <c r="B1686" t="s">
        <v>430</v>
      </c>
      <c r="C1686" s="1">
        <v>44112</v>
      </c>
      <c r="D1686" s="1">
        <v>44433</v>
      </c>
      <c r="E1686">
        <v>106249</v>
      </c>
    </row>
    <row r="1687" spans="1:7" x14ac:dyDescent="0.25">
      <c r="A1687">
        <v>16070</v>
      </c>
      <c r="B1687" t="s">
        <v>430</v>
      </c>
      <c r="C1687" s="1">
        <v>44434</v>
      </c>
      <c r="D1687" s="1">
        <v>44826</v>
      </c>
      <c r="E1687">
        <v>105606</v>
      </c>
      <c r="F1687">
        <v>52985</v>
      </c>
      <c r="G1687">
        <v>52621</v>
      </c>
    </row>
    <row r="1688" spans="1:7" x14ac:dyDescent="0.25">
      <c r="A1688">
        <v>16070</v>
      </c>
      <c r="B1688" t="s">
        <v>430</v>
      </c>
      <c r="C1688" s="1">
        <v>44827</v>
      </c>
      <c r="D1688" s="1">
        <v>117974</v>
      </c>
      <c r="E1688">
        <v>105367</v>
      </c>
      <c r="F1688">
        <v>52958</v>
      </c>
      <c r="G1688">
        <v>52409</v>
      </c>
    </row>
    <row r="1689" spans="1:7" x14ac:dyDescent="0.25">
      <c r="A1689">
        <v>16071</v>
      </c>
      <c r="B1689" t="s">
        <v>431</v>
      </c>
      <c r="C1689" s="1">
        <v>43831</v>
      </c>
      <c r="D1689" s="1">
        <v>44111</v>
      </c>
      <c r="E1689">
        <v>81947</v>
      </c>
    </row>
    <row r="1690" spans="1:7" x14ac:dyDescent="0.25">
      <c r="A1690">
        <v>16071</v>
      </c>
      <c r="B1690" t="s">
        <v>431</v>
      </c>
      <c r="C1690" s="1">
        <v>44112</v>
      </c>
      <c r="D1690" s="1">
        <v>44433</v>
      </c>
      <c r="E1690">
        <v>82156</v>
      </c>
    </row>
    <row r="1691" spans="1:7" x14ac:dyDescent="0.25">
      <c r="A1691">
        <v>16071</v>
      </c>
      <c r="B1691" t="s">
        <v>431</v>
      </c>
      <c r="C1691" s="1">
        <v>44434</v>
      </c>
      <c r="D1691" s="1">
        <v>44826</v>
      </c>
      <c r="E1691">
        <v>82291</v>
      </c>
      <c r="F1691">
        <v>40740</v>
      </c>
      <c r="G1691">
        <v>41551</v>
      </c>
    </row>
    <row r="1692" spans="1:7" x14ac:dyDescent="0.25">
      <c r="A1692">
        <v>16071</v>
      </c>
      <c r="B1692" t="s">
        <v>431</v>
      </c>
      <c r="C1692" s="1">
        <v>44827</v>
      </c>
      <c r="D1692" s="1">
        <v>117974</v>
      </c>
      <c r="E1692">
        <v>82103</v>
      </c>
      <c r="F1692">
        <v>40655</v>
      </c>
      <c r="G1692">
        <v>41448</v>
      </c>
    </row>
    <row r="1693" spans="1:7" x14ac:dyDescent="0.25">
      <c r="A1693">
        <v>16072</v>
      </c>
      <c r="B1693" t="s">
        <v>432</v>
      </c>
      <c r="C1693" s="1">
        <v>43831</v>
      </c>
      <c r="D1693" s="1">
        <v>44111</v>
      </c>
      <c r="E1693">
        <v>56196</v>
      </c>
    </row>
    <row r="1694" spans="1:7" x14ac:dyDescent="0.25">
      <c r="A1694">
        <v>16072</v>
      </c>
      <c r="B1694" t="s">
        <v>432</v>
      </c>
      <c r="C1694" s="1">
        <v>44112</v>
      </c>
      <c r="D1694" s="1">
        <v>44433</v>
      </c>
      <c r="E1694">
        <v>57717</v>
      </c>
    </row>
    <row r="1695" spans="1:7" x14ac:dyDescent="0.25">
      <c r="A1695">
        <v>16072</v>
      </c>
      <c r="B1695" t="s">
        <v>432</v>
      </c>
      <c r="C1695" s="1">
        <v>44434</v>
      </c>
      <c r="D1695" s="1">
        <v>44826</v>
      </c>
      <c r="E1695">
        <v>57044</v>
      </c>
      <c r="F1695">
        <v>28071</v>
      </c>
      <c r="G1695">
        <v>28973</v>
      </c>
    </row>
    <row r="1696" spans="1:7" x14ac:dyDescent="0.25">
      <c r="A1696">
        <v>16072</v>
      </c>
      <c r="B1696" t="s">
        <v>432</v>
      </c>
      <c r="C1696" s="1">
        <v>44827</v>
      </c>
      <c r="D1696" s="1">
        <v>117974</v>
      </c>
      <c r="E1696">
        <v>56504</v>
      </c>
      <c r="F1696">
        <v>27927</v>
      </c>
      <c r="G1696">
        <v>28577</v>
      </c>
    </row>
    <row r="1697" spans="1:7" x14ac:dyDescent="0.25">
      <c r="A1697">
        <v>16073</v>
      </c>
      <c r="B1697" t="s">
        <v>433</v>
      </c>
      <c r="C1697" s="1">
        <v>43831</v>
      </c>
      <c r="D1697" s="1">
        <v>44111</v>
      </c>
      <c r="E1697">
        <v>106356</v>
      </c>
    </row>
    <row r="1698" spans="1:7" x14ac:dyDescent="0.25">
      <c r="A1698">
        <v>16073</v>
      </c>
      <c r="B1698" t="s">
        <v>433</v>
      </c>
      <c r="C1698" s="1">
        <v>44112</v>
      </c>
      <c r="D1698" s="1">
        <v>44433</v>
      </c>
      <c r="E1698">
        <v>103199</v>
      </c>
    </row>
    <row r="1699" spans="1:7" x14ac:dyDescent="0.25">
      <c r="A1699">
        <v>16073</v>
      </c>
      <c r="B1699" t="s">
        <v>433</v>
      </c>
      <c r="C1699" s="1">
        <v>44434</v>
      </c>
      <c r="D1699" s="1">
        <v>44826</v>
      </c>
      <c r="E1699">
        <v>102139</v>
      </c>
      <c r="F1699">
        <v>50306</v>
      </c>
      <c r="G1699">
        <v>51833</v>
      </c>
    </row>
    <row r="1700" spans="1:7" x14ac:dyDescent="0.25">
      <c r="A1700">
        <v>16073</v>
      </c>
      <c r="B1700" t="s">
        <v>433</v>
      </c>
      <c r="C1700" s="1">
        <v>44827</v>
      </c>
      <c r="D1700" s="1">
        <v>117974</v>
      </c>
      <c r="E1700">
        <v>100969</v>
      </c>
      <c r="F1700">
        <v>49808</v>
      </c>
      <c r="G1700">
        <v>51161</v>
      </c>
    </row>
    <row r="1701" spans="1:7" x14ac:dyDescent="0.25">
      <c r="A1701">
        <v>16074</v>
      </c>
      <c r="B1701" t="s">
        <v>434</v>
      </c>
      <c r="C1701" s="1">
        <v>43831</v>
      </c>
      <c r="D1701" s="1">
        <v>44111</v>
      </c>
      <c r="E1701">
        <v>83051</v>
      </c>
    </row>
    <row r="1702" spans="1:7" x14ac:dyDescent="0.25">
      <c r="A1702">
        <v>16074</v>
      </c>
      <c r="B1702" t="s">
        <v>434</v>
      </c>
      <c r="C1702" s="1">
        <v>44112</v>
      </c>
      <c r="D1702" s="1">
        <v>44433</v>
      </c>
      <c r="E1702">
        <v>82950</v>
      </c>
    </row>
    <row r="1703" spans="1:7" x14ac:dyDescent="0.25">
      <c r="A1703">
        <v>16074</v>
      </c>
      <c r="B1703" t="s">
        <v>434</v>
      </c>
      <c r="C1703" s="1">
        <v>44434</v>
      </c>
      <c r="D1703" s="1">
        <v>44826</v>
      </c>
      <c r="E1703">
        <v>82816</v>
      </c>
      <c r="F1703">
        <v>41139</v>
      </c>
      <c r="G1703">
        <v>41677</v>
      </c>
    </row>
    <row r="1704" spans="1:7" x14ac:dyDescent="0.25">
      <c r="A1704">
        <v>16074</v>
      </c>
      <c r="B1704" t="s">
        <v>434</v>
      </c>
      <c r="C1704" s="1">
        <v>44827</v>
      </c>
      <c r="D1704" s="1">
        <v>117974</v>
      </c>
      <c r="E1704">
        <v>82513</v>
      </c>
      <c r="F1704">
        <v>41034</v>
      </c>
      <c r="G1704">
        <v>41479</v>
      </c>
    </row>
    <row r="1705" spans="1:7" x14ac:dyDescent="0.25">
      <c r="A1705">
        <v>16075</v>
      </c>
      <c r="B1705" t="s">
        <v>435</v>
      </c>
      <c r="C1705" s="1">
        <v>43831</v>
      </c>
      <c r="D1705" s="1">
        <v>44111</v>
      </c>
      <c r="E1705">
        <v>80868</v>
      </c>
    </row>
    <row r="1706" spans="1:7" x14ac:dyDescent="0.25">
      <c r="A1706">
        <v>16075</v>
      </c>
      <c r="B1706" t="s">
        <v>435</v>
      </c>
      <c r="C1706" s="1">
        <v>44112</v>
      </c>
      <c r="D1706" s="1">
        <v>44433</v>
      </c>
      <c r="E1706">
        <v>80312</v>
      </c>
    </row>
    <row r="1707" spans="1:7" x14ac:dyDescent="0.25">
      <c r="A1707">
        <v>16075</v>
      </c>
      <c r="B1707" t="s">
        <v>435</v>
      </c>
      <c r="C1707" s="1">
        <v>44434</v>
      </c>
      <c r="D1707" s="1">
        <v>44826</v>
      </c>
      <c r="E1707">
        <v>79632</v>
      </c>
      <c r="F1707">
        <v>39579</v>
      </c>
      <c r="G1707">
        <v>40053</v>
      </c>
    </row>
    <row r="1708" spans="1:7" x14ac:dyDescent="0.25">
      <c r="A1708">
        <v>16075</v>
      </c>
      <c r="B1708" t="s">
        <v>435</v>
      </c>
      <c r="C1708" s="1">
        <v>44827</v>
      </c>
      <c r="D1708" s="1">
        <v>117974</v>
      </c>
      <c r="E1708">
        <v>79030</v>
      </c>
      <c r="F1708">
        <v>39308</v>
      </c>
      <c r="G1708">
        <v>39722</v>
      </c>
    </row>
    <row r="1709" spans="1:7" x14ac:dyDescent="0.25">
      <c r="A1709">
        <v>16076</v>
      </c>
      <c r="B1709" t="s">
        <v>436</v>
      </c>
      <c r="C1709" s="1">
        <v>43831</v>
      </c>
      <c r="D1709" s="1">
        <v>44111</v>
      </c>
      <c r="E1709">
        <v>98159</v>
      </c>
    </row>
    <row r="1710" spans="1:7" x14ac:dyDescent="0.25">
      <c r="A1710">
        <v>16076</v>
      </c>
      <c r="B1710" t="s">
        <v>436</v>
      </c>
      <c r="C1710" s="1">
        <v>44112</v>
      </c>
      <c r="D1710" s="1">
        <v>44433</v>
      </c>
      <c r="E1710">
        <v>97398</v>
      </c>
    </row>
    <row r="1711" spans="1:7" x14ac:dyDescent="0.25">
      <c r="A1711">
        <v>16076</v>
      </c>
      <c r="B1711" t="s">
        <v>436</v>
      </c>
      <c r="C1711" s="1">
        <v>44434</v>
      </c>
      <c r="D1711" s="1">
        <v>44826</v>
      </c>
      <c r="E1711">
        <v>96668</v>
      </c>
      <c r="F1711">
        <v>47659</v>
      </c>
      <c r="G1711">
        <v>49009</v>
      </c>
    </row>
    <row r="1712" spans="1:7" x14ac:dyDescent="0.25">
      <c r="A1712">
        <v>16076</v>
      </c>
      <c r="B1712" t="s">
        <v>436</v>
      </c>
      <c r="C1712" s="1">
        <v>44827</v>
      </c>
      <c r="D1712" s="1">
        <v>117974</v>
      </c>
      <c r="E1712">
        <v>96102</v>
      </c>
      <c r="F1712">
        <v>47405</v>
      </c>
      <c r="G1712">
        <v>48697</v>
      </c>
    </row>
    <row r="1713" spans="1:7" x14ac:dyDescent="0.25">
      <c r="A1713">
        <v>16077</v>
      </c>
      <c r="B1713" t="s">
        <v>437</v>
      </c>
      <c r="C1713" s="1">
        <v>43831</v>
      </c>
      <c r="D1713" s="1">
        <v>44111</v>
      </c>
      <c r="E1713">
        <v>90118</v>
      </c>
    </row>
    <row r="1714" spans="1:7" x14ac:dyDescent="0.25">
      <c r="A1714">
        <v>16077</v>
      </c>
      <c r="B1714" t="s">
        <v>437</v>
      </c>
      <c r="C1714" s="1">
        <v>44112</v>
      </c>
      <c r="D1714" s="1">
        <v>44433</v>
      </c>
      <c r="E1714">
        <v>89393</v>
      </c>
    </row>
    <row r="1715" spans="1:7" x14ac:dyDescent="0.25">
      <c r="A1715">
        <v>16077</v>
      </c>
      <c r="B1715" t="s">
        <v>437</v>
      </c>
      <c r="C1715" s="1">
        <v>44434</v>
      </c>
      <c r="D1715" s="1">
        <v>44826</v>
      </c>
      <c r="E1715">
        <v>88356</v>
      </c>
      <c r="F1715">
        <v>43215</v>
      </c>
      <c r="G1715">
        <v>45141</v>
      </c>
    </row>
    <row r="1716" spans="1:7" x14ac:dyDescent="0.25">
      <c r="A1716">
        <v>16077</v>
      </c>
      <c r="B1716" t="s">
        <v>437</v>
      </c>
      <c r="C1716" s="1">
        <v>44827</v>
      </c>
      <c r="D1716" s="1">
        <v>117974</v>
      </c>
      <c r="E1716">
        <v>87807</v>
      </c>
      <c r="F1716">
        <v>42908</v>
      </c>
      <c r="G1716">
        <v>44899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RKI_COVID19_Fallzahlen_20220416</vt:lpstr>
      <vt:lpstr>Tabelle2</vt:lpstr>
      <vt:lpstr>Tabelle3</vt:lpstr>
      <vt:lpstr>Tabelle3!Bevoelkerung</vt:lpstr>
      <vt:lpstr>Tabelle2!Bevoelkerung_1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Markewitz</dc:creator>
  <cp:lastModifiedBy>Peter</cp:lastModifiedBy>
  <dcterms:created xsi:type="dcterms:W3CDTF">2022-04-19T12:13:13Z</dcterms:created>
  <dcterms:modified xsi:type="dcterms:W3CDTF">2024-01-21T11:21:04Z</dcterms:modified>
</cp:coreProperties>
</file>